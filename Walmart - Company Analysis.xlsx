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ecded0c44668af/Desktop/Niket/Courses/FSA/Final Project/"/>
    </mc:Choice>
  </mc:AlternateContent>
  <xr:revisionPtr revIDLastSave="1186" documentId="11_F25DC773A252ABDACC10489C911E4D3C5ADE58E9" xr6:coauthVersionLast="47" xr6:coauthVersionMax="47" xr10:uidLastSave="{3BD84104-2F1B-49B6-87CA-0057D8275B87}"/>
  <bookViews>
    <workbookView xWindow="-108" yWindow="-108" windowWidth="23256" windowHeight="13896" xr2:uid="{00000000-000D-0000-FFFF-FFFF00000000}"/>
  </bookViews>
  <sheets>
    <sheet name="Common sized -Income Statement " sheetId="2" r:id="rId1"/>
    <sheet name="Sheet1" sheetId="7" state="hidden" r:id="rId2"/>
    <sheet name="Sheet2" sheetId="8" state="hidden" r:id="rId3"/>
    <sheet name="Common Sized-Balance Sheet " sheetId="1" r:id="rId4"/>
    <sheet name="Fluctuation- Income Statement" sheetId="3" r:id="rId5"/>
    <sheet name="Fluctuation- Balance Sheet " sheetId="4" r:id="rId6"/>
    <sheet name="Ratio Analysis " sheetId="5" r:id="rId7"/>
    <sheet name="SWOT Analysi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27" i="3"/>
  <c r="D26" i="5"/>
  <c r="D19" i="5"/>
  <c r="F19" i="5"/>
  <c r="C44" i="8"/>
  <c r="C46" i="8" s="1"/>
  <c r="C28" i="8"/>
  <c r="C47" i="8" s="1"/>
  <c r="C11" i="8"/>
  <c r="C18" i="8" s="1"/>
  <c r="B44" i="8"/>
  <c r="B46" i="8" s="1"/>
  <c r="B28" i="8"/>
  <c r="B47" i="8" s="1"/>
  <c r="B11" i="8"/>
  <c r="B18" i="8" s="1"/>
  <c r="D17" i="7"/>
  <c r="C17" i="7"/>
  <c r="B17" i="7"/>
  <c r="D8" i="7"/>
  <c r="D12" i="7" s="1"/>
  <c r="D20" i="7" s="1"/>
  <c r="D22" i="7" s="1"/>
  <c r="D24" i="7" s="1"/>
  <c r="C8" i="7"/>
  <c r="C12" i="7" s="1"/>
  <c r="C20" i="7" s="1"/>
  <c r="C22" i="7" s="1"/>
  <c r="C24" i="7" s="1"/>
  <c r="B8" i="7"/>
  <c r="B12" i="7" s="1"/>
  <c r="B20" i="7" s="1"/>
  <c r="B22" i="7" s="1"/>
  <c r="B24" i="7" s="1"/>
  <c r="F12" i="5"/>
  <c r="D12" i="5"/>
  <c r="F9" i="5"/>
  <c r="D9" i="5"/>
  <c r="F10" i="5"/>
  <c r="D10" i="5"/>
  <c r="F13" i="5"/>
  <c r="D13" i="5"/>
  <c r="D28" i="5"/>
  <c r="D27" i="5"/>
  <c r="B45" i="1"/>
  <c r="D25" i="5"/>
  <c r="D24" i="5"/>
  <c r="F33" i="5"/>
  <c r="D33" i="5"/>
  <c r="F32" i="5"/>
  <c r="D32" i="5"/>
  <c r="F31" i="5"/>
  <c r="D31" i="5"/>
  <c r="F27" i="5"/>
  <c r="F26" i="5"/>
  <c r="F28" i="5"/>
  <c r="F25" i="5"/>
  <c r="F24" i="5"/>
  <c r="F18" i="5"/>
  <c r="F11" i="5"/>
  <c r="F17" i="5"/>
  <c r="D17" i="5"/>
  <c r="D11" i="5"/>
  <c r="D18" i="5"/>
  <c r="C46" i="4"/>
  <c r="D46" i="4" s="1"/>
  <c r="E46" i="4" s="1"/>
  <c r="C19" i="1"/>
  <c r="E19" i="1"/>
  <c r="E29" i="1"/>
  <c r="D48" i="1"/>
  <c r="C47" i="4"/>
  <c r="C28" i="4"/>
  <c r="E45" i="4"/>
  <c r="E44" i="4"/>
  <c r="E43" i="4"/>
  <c r="E42" i="4"/>
  <c r="E41" i="4"/>
  <c r="E40" i="4"/>
  <c r="E33" i="4"/>
  <c r="E32" i="4"/>
  <c r="E31" i="4"/>
  <c r="E30" i="4"/>
  <c r="E27" i="4"/>
  <c r="E26" i="4"/>
  <c r="E25" i="4"/>
  <c r="E24" i="4"/>
  <c r="E23" i="4"/>
  <c r="E22" i="4"/>
  <c r="E21" i="4"/>
  <c r="E18" i="4"/>
  <c r="E17" i="4"/>
  <c r="E16" i="4"/>
  <c r="E15" i="4"/>
  <c r="E14" i="4"/>
  <c r="E13" i="4"/>
  <c r="E11" i="4"/>
  <c r="E10" i="4"/>
  <c r="E9" i="4"/>
  <c r="E8" i="4"/>
  <c r="D45" i="4"/>
  <c r="D44" i="4"/>
  <c r="D43" i="4"/>
  <c r="D42" i="4"/>
  <c r="D41" i="4"/>
  <c r="D40" i="4"/>
  <c r="D37" i="4"/>
  <c r="D33" i="4"/>
  <c r="D32" i="4"/>
  <c r="D31" i="4"/>
  <c r="D30" i="4"/>
  <c r="D28" i="4"/>
  <c r="E28" i="4" s="1"/>
  <c r="D27" i="4"/>
  <c r="D26" i="4"/>
  <c r="D25" i="4"/>
  <c r="D24" i="4"/>
  <c r="D23" i="4"/>
  <c r="D22" i="4"/>
  <c r="D21" i="4"/>
  <c r="D18" i="4"/>
  <c r="D17" i="4"/>
  <c r="D16" i="4"/>
  <c r="D15" i="4"/>
  <c r="D14" i="4"/>
  <c r="D13" i="4"/>
  <c r="D11" i="4"/>
  <c r="D10" i="4"/>
  <c r="D9" i="4"/>
  <c r="D8" i="4"/>
  <c r="D7" i="4"/>
  <c r="D47" i="4"/>
  <c r="E47" i="4" s="1"/>
  <c r="C11" i="4"/>
  <c r="C44" i="4"/>
  <c r="C18" i="4"/>
  <c r="B44" i="4"/>
  <c r="B46" i="4" s="1"/>
  <c r="B47" i="4" s="1"/>
  <c r="B28" i="4"/>
  <c r="B11" i="4"/>
  <c r="B18" i="4" s="1"/>
  <c r="H27" i="3"/>
  <c r="H26" i="3"/>
  <c r="H25" i="3"/>
  <c r="H24" i="3"/>
  <c r="H23" i="3"/>
  <c r="H22" i="3"/>
  <c r="H21" i="3"/>
  <c r="H20" i="3"/>
  <c r="H19" i="3"/>
  <c r="H18" i="3"/>
  <c r="H17" i="3"/>
  <c r="H15" i="3"/>
  <c r="H14" i="3"/>
  <c r="H13" i="3"/>
  <c r="H11" i="3"/>
  <c r="H10" i="3"/>
  <c r="H9" i="3"/>
  <c r="F9" i="3"/>
  <c r="E9" i="3"/>
  <c r="F26" i="3"/>
  <c r="F25" i="3"/>
  <c r="F24" i="3"/>
  <c r="F23" i="3"/>
  <c r="F22" i="3"/>
  <c r="F20" i="3"/>
  <c r="F19" i="3"/>
  <c r="F18" i="3"/>
  <c r="F17" i="3"/>
  <c r="F15" i="3"/>
  <c r="F14" i="3"/>
  <c r="F13" i="3"/>
  <c r="F10" i="3"/>
  <c r="F11" i="3"/>
  <c r="G26" i="3"/>
  <c r="G24" i="3"/>
  <c r="G22" i="3"/>
  <c r="G21" i="3"/>
  <c r="G19" i="3"/>
  <c r="G18" i="3"/>
  <c r="G17" i="3"/>
  <c r="G14" i="3"/>
  <c r="G13" i="3"/>
  <c r="G10" i="3"/>
  <c r="G9" i="3"/>
  <c r="E26" i="3"/>
  <c r="E24" i="3"/>
  <c r="E23" i="3"/>
  <c r="E22" i="3"/>
  <c r="E21" i="3"/>
  <c r="E20" i="3"/>
  <c r="E19" i="3"/>
  <c r="E18" i="3"/>
  <c r="E17" i="3"/>
  <c r="E14" i="3"/>
  <c r="E13" i="3"/>
  <c r="E10" i="3"/>
  <c r="D20" i="3"/>
  <c r="D11" i="3"/>
  <c r="D15" i="3" s="1"/>
  <c r="D23" i="3" s="1"/>
  <c r="C20" i="3"/>
  <c r="G20" i="3" s="1"/>
  <c r="C11" i="3"/>
  <c r="C15" i="3" s="1"/>
  <c r="C23" i="3" s="1"/>
  <c r="C25" i="3" s="1"/>
  <c r="C27" i="3" s="1"/>
  <c r="B20" i="3"/>
  <c r="B11" i="3"/>
  <c r="B15" i="3" s="1"/>
  <c r="B23" i="3" s="1"/>
  <c r="B25" i="3" s="1"/>
  <c r="B27" i="3" s="1"/>
  <c r="E27" i="3" s="1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F25" i="2"/>
  <c r="F23" i="2"/>
  <c r="F21" i="2"/>
  <c r="D21" i="2"/>
  <c r="F18" i="2"/>
  <c r="F13" i="2"/>
  <c r="F9" i="2"/>
  <c r="E25" i="2"/>
  <c r="E24" i="2"/>
  <c r="D18" i="2"/>
  <c r="E18" i="2" s="1"/>
  <c r="D9" i="2"/>
  <c r="E22" i="2" s="1"/>
  <c r="C24" i="2"/>
  <c r="B18" i="2"/>
  <c r="C18" i="2" s="1"/>
  <c r="B9" i="2"/>
  <c r="C22" i="2" s="1"/>
  <c r="C44" i="1"/>
  <c r="C43" i="1"/>
  <c r="C28" i="1"/>
  <c r="C27" i="1"/>
  <c r="C26" i="1"/>
  <c r="C25" i="1"/>
  <c r="C24" i="1"/>
  <c r="B29" i="1"/>
  <c r="C18" i="1"/>
  <c r="C17" i="1"/>
  <c r="C16" i="1"/>
  <c r="C15" i="1"/>
  <c r="C14" i="1"/>
  <c r="D45" i="1"/>
  <c r="B47" i="1"/>
  <c r="C47" i="1" s="1"/>
  <c r="D29" i="1"/>
  <c r="D12" i="1"/>
  <c r="B12" i="1"/>
  <c r="C12" i="1" s="1"/>
  <c r="B19" i="1"/>
  <c r="C42" i="1" s="1"/>
  <c r="D25" i="3" l="1"/>
  <c r="G23" i="3"/>
  <c r="E25" i="3"/>
  <c r="G11" i="3"/>
  <c r="G15" i="3"/>
  <c r="E11" i="3"/>
  <c r="E15" i="3"/>
  <c r="B13" i="2"/>
  <c r="D13" i="2"/>
  <c r="C7" i="2"/>
  <c r="E7" i="2"/>
  <c r="C8" i="2"/>
  <c r="E8" i="2"/>
  <c r="C9" i="2"/>
  <c r="E9" i="2"/>
  <c r="C11" i="2"/>
  <c r="E11" i="2"/>
  <c r="C12" i="2"/>
  <c r="E12" i="2"/>
  <c r="C15" i="2"/>
  <c r="E15" i="2"/>
  <c r="C16" i="2"/>
  <c r="E16" i="2"/>
  <c r="C17" i="2"/>
  <c r="E17" i="2"/>
  <c r="C20" i="2"/>
  <c r="E20" i="2"/>
  <c r="D19" i="1"/>
  <c r="C45" i="1"/>
  <c r="C46" i="1"/>
  <c r="C29" i="1"/>
  <c r="D47" i="1"/>
  <c r="E47" i="1" s="1"/>
  <c r="C31" i="1"/>
  <c r="C32" i="1"/>
  <c r="C33" i="1"/>
  <c r="C8" i="1"/>
  <c r="C34" i="1"/>
  <c r="C9" i="1"/>
  <c r="B48" i="1"/>
  <c r="C48" i="1" s="1"/>
  <c r="C38" i="1"/>
  <c r="C10" i="1"/>
  <c r="C22" i="1"/>
  <c r="C41" i="1"/>
  <c r="C11" i="1"/>
  <c r="C23" i="1"/>
  <c r="D27" i="3" l="1"/>
  <c r="G27" i="3" s="1"/>
  <c r="G25" i="3"/>
  <c r="E13" i="2"/>
  <c r="C13" i="2"/>
  <c r="B21" i="2"/>
  <c r="E46" i="1"/>
  <c r="E18" i="1"/>
  <c r="E17" i="1"/>
  <c r="E16" i="1"/>
  <c r="E15" i="1"/>
  <c r="E28" i="1"/>
  <c r="E14" i="1"/>
  <c r="E44" i="1"/>
  <c r="E27" i="1"/>
  <c r="E43" i="1"/>
  <c r="E26" i="1"/>
  <c r="E11" i="1"/>
  <c r="E42" i="1"/>
  <c r="E25" i="1"/>
  <c r="E10" i="1"/>
  <c r="E41" i="1"/>
  <c r="E24" i="1"/>
  <c r="E9" i="1"/>
  <c r="E38" i="1"/>
  <c r="E23" i="1"/>
  <c r="E8" i="1"/>
  <c r="E34" i="1"/>
  <c r="E22" i="1"/>
  <c r="E33" i="1"/>
  <c r="E32" i="1"/>
  <c r="E31" i="1"/>
  <c r="E45" i="1"/>
  <c r="E48" i="1"/>
  <c r="E12" i="1"/>
  <c r="C21" i="2" l="1"/>
  <c r="B23" i="2"/>
  <c r="E21" i="2"/>
  <c r="D23" i="2"/>
  <c r="E23" i="2" l="1"/>
  <c r="D25" i="2"/>
  <c r="C23" i="2"/>
  <c r="B25" i="2"/>
  <c r="C25" i="2" s="1"/>
</calcChain>
</file>

<file path=xl/sharedStrings.xml><?xml version="1.0" encoding="utf-8"?>
<sst xmlns="http://schemas.openxmlformats.org/spreadsheetml/2006/main" count="346" uniqueCount="190">
  <si>
    <t xml:space="preserve">COMMON SIZED BALANCE SHEET - WALMART </t>
  </si>
  <si>
    <t>Particulars</t>
  </si>
  <si>
    <t>Change in %</t>
  </si>
  <si>
    <t>As of January 31</t>
  </si>
  <si>
    <t>(Amt in Miliions)</t>
  </si>
  <si>
    <t>ASSETS</t>
  </si>
  <si>
    <t>Current assets:</t>
  </si>
  <si>
    <t>Property and equipment, net</t>
  </si>
  <si>
    <t>Operating lease right-of-use assets</t>
  </si>
  <si>
    <t>Finance lease right-of-use assets, net</t>
  </si>
  <si>
    <t>Goodwill</t>
  </si>
  <si>
    <t>Other long-term assets</t>
  </si>
  <si>
    <t>Total assets</t>
  </si>
  <si>
    <t>LIABILITIES, REDEEMABLE NONCONTROLLING INTEREST, AND EQUITY</t>
  </si>
  <si>
    <t>Current liabilities:</t>
  </si>
  <si>
    <t>Total current liabilities</t>
  </si>
  <si>
    <t>Long-term debt</t>
  </si>
  <si>
    <t>Long-term operating lease obligations</t>
  </si>
  <si>
    <t>Long-term finance lease obligations</t>
  </si>
  <si>
    <t>Deferred income taxes and other</t>
  </si>
  <si>
    <t>Commitments and contingencies</t>
  </si>
  <si>
    <t>Redeemable noncontrolling interest</t>
  </si>
  <si>
    <t>Equity:</t>
  </si>
  <si>
    <t>Total equity</t>
  </si>
  <si>
    <t>Total liabilities, redeemable noncontrolling interest, and equity</t>
  </si>
  <si>
    <t xml:space="preserve">                         Cash and cash equivalents</t>
  </si>
  <si>
    <t xml:space="preserve">                         Receivables, net</t>
  </si>
  <si>
    <t xml:space="preserve">                         Inventories</t>
  </si>
  <si>
    <t xml:space="preserve">                         Prepaid expenses and other</t>
  </si>
  <si>
    <t xml:space="preserve">                                        Total current assets</t>
  </si>
  <si>
    <t xml:space="preserve">             Short-term borrowings</t>
  </si>
  <si>
    <t xml:space="preserve">             Accounts payable</t>
  </si>
  <si>
    <t xml:space="preserve">             Accrued liabilities</t>
  </si>
  <si>
    <t xml:space="preserve">             Accrued income taxes</t>
  </si>
  <si>
    <t xml:space="preserve">             Long-term debt due within one year</t>
  </si>
  <si>
    <t xml:space="preserve">             Operating lease obligations due within one year</t>
  </si>
  <si>
    <t xml:space="preserve">             Finance lease obligations due within one year</t>
  </si>
  <si>
    <t xml:space="preserve">             Common stock</t>
  </si>
  <si>
    <t xml:space="preserve">             Capital in excess of par value</t>
  </si>
  <si>
    <t xml:space="preserve">             Retained earnings</t>
  </si>
  <si>
    <t xml:space="preserve">             Accumulated other comprehensive loss</t>
  </si>
  <si>
    <t xml:space="preserve">                     Total Walmart shareholders' equity</t>
  </si>
  <si>
    <t xml:space="preserve">             Noncontrolling interest</t>
  </si>
  <si>
    <t xml:space="preserve">COMMON SIZED INCOME STATEMENT - WALMART </t>
  </si>
  <si>
    <t>Common Sized for 2024</t>
  </si>
  <si>
    <t>Common Sized for 2023</t>
  </si>
  <si>
    <t>Common Sized for 2022</t>
  </si>
  <si>
    <t>As of January 31,</t>
  </si>
  <si>
    <t>Revenues:</t>
  </si>
  <si>
    <t>Net sales</t>
  </si>
  <si>
    <t>Membership and other income</t>
  </si>
  <si>
    <t>Total revenues</t>
  </si>
  <si>
    <t>Costs and expenses:</t>
  </si>
  <si>
    <t>Cost of sales</t>
  </si>
  <si>
    <t>Operating, selling, general and administrative expenses</t>
  </si>
  <si>
    <t>Operating income</t>
  </si>
  <si>
    <t>Interest:</t>
  </si>
  <si>
    <t>Debt</t>
  </si>
  <si>
    <t>Finance lease</t>
  </si>
  <si>
    <t>Interest income</t>
  </si>
  <si>
    <t>Interest, net</t>
  </si>
  <si>
    <t>Loss on extinguishment of debt</t>
  </si>
  <si>
    <t>Other (gains) and losses</t>
  </si>
  <si>
    <t>Income before income taxes</t>
  </si>
  <si>
    <t>Provision for income taxes</t>
  </si>
  <si>
    <t>Consolidated net income</t>
  </si>
  <si>
    <t>Consolidated net (income) loss attributable to noncontrolling interest</t>
  </si>
  <si>
    <t>Consolidated net income attributable to Walmart</t>
  </si>
  <si>
    <t>Net income per common share:</t>
  </si>
  <si>
    <t>Basic net income per common share attributable to Walmart</t>
  </si>
  <si>
    <t>Diluted net income per common share attributable to Walmart</t>
  </si>
  <si>
    <t>Weighted-average common shares outstanding:</t>
  </si>
  <si>
    <t>Basic</t>
  </si>
  <si>
    <t>Diluted</t>
  </si>
  <si>
    <t>Dividends declared per common share</t>
  </si>
  <si>
    <t>—</t>
  </si>
  <si>
    <t>(Amounts in millions, except per share data)</t>
  </si>
  <si>
    <t>Niket Shah</t>
  </si>
  <si>
    <t xml:space="preserve">FLUCTUATION ANALYSIS INCOME STATEMENT - WALMART </t>
  </si>
  <si>
    <t>Change in $</t>
  </si>
  <si>
    <t>For Year 2024</t>
  </si>
  <si>
    <t>For Year 2023</t>
  </si>
  <si>
    <t xml:space="preserve"> CHANGE IN $</t>
  </si>
  <si>
    <t>CHANGE IN %</t>
  </si>
  <si>
    <t xml:space="preserve">RATIO ANALYSIS - WALMART </t>
  </si>
  <si>
    <t xml:space="preserve">Niket Shah </t>
  </si>
  <si>
    <t xml:space="preserve">Ratios </t>
  </si>
  <si>
    <t xml:space="preserve">Formula </t>
  </si>
  <si>
    <t xml:space="preserve">Solvency Ratio </t>
  </si>
  <si>
    <t>Total Debt/Shareholders’ Equity</t>
  </si>
  <si>
    <t>Shareholders’ Equity/Total Assets</t>
  </si>
  <si>
    <t>Total Debt/Total Asset</t>
  </si>
  <si>
    <t>Debt to Equity ratio</t>
  </si>
  <si>
    <t>Debt Ratio</t>
  </si>
  <si>
    <t>Equity ratio</t>
  </si>
  <si>
    <t>Debt to asset ratio</t>
  </si>
  <si>
    <t xml:space="preserve">Interest Coverage Ratio </t>
  </si>
  <si>
    <t>Liquidity Ratios</t>
  </si>
  <si>
    <t>Cash Ratio</t>
  </si>
  <si>
    <t>Cash &amp; Cah Equivalents / Current Liabilities</t>
  </si>
  <si>
    <t xml:space="preserve">Quick Ratio </t>
  </si>
  <si>
    <t xml:space="preserve">Current Assets - Inventory / Current Liabilties </t>
  </si>
  <si>
    <t xml:space="preserve">Current Ratio </t>
  </si>
  <si>
    <t>Current Assets / Current Liabilties</t>
  </si>
  <si>
    <t xml:space="preserve">Profitabilty Ratios </t>
  </si>
  <si>
    <t>Gross Profit Ratio</t>
  </si>
  <si>
    <t xml:space="preserve">Gross Profit / Net Sales </t>
  </si>
  <si>
    <t xml:space="preserve">Net Profit Ratio </t>
  </si>
  <si>
    <t>Net Profit / Net Sales</t>
  </si>
  <si>
    <t xml:space="preserve">Return on Assets </t>
  </si>
  <si>
    <t>Net Income / Average Shareholders Equity</t>
  </si>
  <si>
    <t>Return on Equity</t>
  </si>
  <si>
    <t>Operating Profit Ratio</t>
  </si>
  <si>
    <t>Operating Income/ Net Sales</t>
  </si>
  <si>
    <t>Activity Ratios</t>
  </si>
  <si>
    <t>Asset Turnover Ratio:</t>
  </si>
  <si>
    <t>Total Revenues​/ Average Total Assets</t>
  </si>
  <si>
    <t>Inventory Turnover Ratio:</t>
  </si>
  <si>
    <t>Cost of Sales​/ Average Inventory</t>
  </si>
  <si>
    <t>Days Inventory Outstanding:</t>
  </si>
  <si>
    <t>365/ Inventory Turnover Ratio</t>
  </si>
  <si>
    <t>Receivables Turnover Ratio:</t>
  </si>
  <si>
    <t>Net Sales / Average Receivables</t>
  </si>
  <si>
    <t xml:space="preserve">Total Debt(Short Term Borrowings + Long Term Debt + Current Maturities) / Total Assets </t>
  </si>
  <si>
    <t>Net Income / Average Total Assets</t>
  </si>
  <si>
    <t>(243,197 + 234,526) / 2 = 238861.5</t>
  </si>
  <si>
    <t>(76,693 + 71,130) / 2 = 73911.5</t>
  </si>
  <si>
    <t>(252,399 + 243,197) / 2 = 247798</t>
  </si>
  <si>
    <t>(8,796 + 7,933) / 2 = 8365</t>
  </si>
  <si>
    <t>(7,933 + 7,543) / 2 = 7738</t>
  </si>
  <si>
    <t>(54,892 + 56,576) / 2 = 55734</t>
  </si>
  <si>
    <t>(56,576 + 55,160) / 2 = 55868</t>
  </si>
  <si>
    <t>365/8.79 = 41.52</t>
  </si>
  <si>
    <t>41.52 days</t>
  </si>
  <si>
    <t>365/8.3 = 43.98</t>
  </si>
  <si>
    <t>43.98 days</t>
  </si>
  <si>
    <t>(83,861 + 76,693) / 2 = 80277</t>
  </si>
  <si>
    <t>EBIT / Interest Expense</t>
  </si>
  <si>
    <t>878+3447+36132 = 40457</t>
  </si>
  <si>
    <t>372+4191+34649 = 39212</t>
  </si>
  <si>
    <t>Calculation</t>
  </si>
  <si>
    <t>92,415 + 36,132 + 12,943 + 5,709 = 147,199</t>
  </si>
  <si>
    <t>92,198 + 34,649 + 12,828 + 4,843 = 134,494</t>
  </si>
  <si>
    <t>WALMART - SWOT ANALYSIS</t>
  </si>
  <si>
    <t>STRENGTHS</t>
  </si>
  <si>
    <t>One of the largest retailers in the world, Walmart has a strong reputation as a brand. It has significant advantages over competitors, including economies of scale.</t>
  </si>
  <si>
    <t xml:space="preserve">Walmart's revenue showed a robust growth trajectory, rising from $567.76 billion in FY2022 to $642.64 billion in FY2024. </t>
  </si>
  <si>
    <t>From FY2022 to FY2024, net income increased 17% from $13.94 billion to $16.27 billion, indicating strong profitability.</t>
  </si>
  <si>
    <t>Walmart's significant operating cash flow ($35.73 billion in FY2024) allows it to finance expenses, distribute dividends, and buy back stock.</t>
  </si>
  <si>
    <t>Walmart is able to maintain low costs and pass savings on to customers because to its vast and efficient supply network.</t>
  </si>
  <si>
    <t>It is also developing its digital and e-commerce talents to effectively engage in the online retail sector.</t>
  </si>
  <si>
    <t>WEAKNESSESS</t>
  </si>
  <si>
    <t>Minimal Profit Margin:</t>
  </si>
  <si>
    <t>Walmart's emphasis on low prices and high sales volume means that, like many large retailers, it works on small profit margins.</t>
  </si>
  <si>
    <t>This leaves the business open to increases in labor, supply chain, and other operational costs.</t>
  </si>
  <si>
    <t>interest expenses increased from $1.83 billion in FY2022 to $2.14 billion in FY2024.</t>
  </si>
  <si>
    <t>Despite its global reach, Walmart still gets a significant portion of its revenue from the US market.</t>
  </si>
  <si>
    <t>As a result, the company is vulnerable to shifts in domestic economic conditions, consumer purchasing trends, and legislation.</t>
  </si>
  <si>
    <t>Good Reputation:</t>
  </si>
  <si>
    <t>Revenue and Profit Growth:</t>
  </si>
  <si>
    <t>Strong Cash Flow:</t>
  </si>
  <si>
    <t>Several Revenue Sources:</t>
  </si>
  <si>
    <t>Global Presence and Supply network:</t>
  </si>
  <si>
    <t>Growing Interest and Operating Costs:</t>
  </si>
  <si>
    <t>Dependency on the US market:</t>
  </si>
  <si>
    <t>Labor and supply chain costs:</t>
  </si>
  <si>
    <t>Walmart's profitability may be impacted if growing labor expenses and supply chain disruption issues, such as transportation issues or inflationary pressures, are not adequately managed.</t>
  </si>
  <si>
    <t>OPPORTUNITIES</t>
  </si>
  <si>
    <t>E-business and Digital Growth:</t>
  </si>
  <si>
    <t>Walmart has made significant strides in its digital capabilities and e-commerce operations, which present opportunities to grow its share of the online retail sector.</t>
  </si>
  <si>
    <t>The business is investing in online platforms and logistics, which is creating new development potential.</t>
  </si>
  <si>
    <t>Development in Developing Markets and Globalization:</t>
  </si>
  <si>
    <t>Walmart may expand its presence in uncharted territories, particularly in developing countries, despite being a significant participant on a global level.</t>
  </si>
  <si>
    <t>As consumer interest in sustainability increases, Walmart has an opportunity to strengthen its brand by promoting eco-friendly products, reducing waste, and enhancing eco-friendly procedures.</t>
  </si>
  <si>
    <t>Technological Advancements:</t>
  </si>
  <si>
    <t>Through the use of technologies like automation, data analytics, and artificial intelligence (AI), Walmart can increase customer satisfaction, optimize operations, and make better decisions.</t>
  </si>
  <si>
    <t>Green initiatives and sustainability:</t>
  </si>
  <si>
    <t>Operating costs have risen gradually, rising from $117.81 billion in FY2022 to $130.97 billion in FY2024. Additionally, because of the company's debt,</t>
  </si>
  <si>
    <t>THREATS</t>
  </si>
  <si>
    <t>Tough Competition:</t>
  </si>
  <si>
    <t>Walmart is up against fierce competition from e-commerce behemoths like Amazon, specialty shops, and other big-box stores like Target and Costco.</t>
  </si>
  <si>
    <t>Walmart is under pressure from this competition to stick to its low-price approach, which may have an effect on profitability.</t>
  </si>
  <si>
    <t>Economic downturns:</t>
  </si>
  <si>
    <t>Economic factors, such as recessions, inflation, and shifts in consumer purchasing, can have a big influence on the company's profitability. The demand for discretionary goods may decline during economic downturns.</t>
  </si>
  <si>
    <t>Chain disruptions:</t>
  </si>
  <si>
    <t>Global supply chain disruptions remain a risk, particularly in the aftermath of COVID-19 and other geopolitical events. The company may experience delays,</t>
  </si>
  <si>
    <t>product shortages, or cost hikes as a result of these disruptions for Walmart.</t>
  </si>
  <si>
    <t>Fiscal year Ended January 31,</t>
  </si>
  <si>
    <t>Membership fees, net sales, and other sources are some of the ways that Walmart generates revenue.</t>
  </si>
  <si>
    <t>Because of this diversification, the corporation is less dependent on any one aspect of its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</si>
</sst>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0"/>
    <numFmt numFmtId="166" formatCode="_(* #,##0.0000_);_(* \(#,##0.00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231F20"/>
      <name val="Times New Roman"/>
      <family val="1"/>
    </font>
    <font>
      <sz val="12"/>
      <color rgb="FF231F20"/>
      <name val="Times New Roman"/>
      <family val="1"/>
    </font>
    <font>
      <sz val="12"/>
      <color theme="1"/>
      <name val="Times New Roman"/>
      <family val="1"/>
    </font>
    <font>
      <b/>
      <sz val="12"/>
      <color rgb="FF231F20"/>
      <name val="Times New Roman "/>
    </font>
    <font>
      <b/>
      <sz val="12"/>
      <color theme="1"/>
      <name val="Times New Roman "/>
    </font>
    <font>
      <sz val="12"/>
      <color rgb="FF231F20"/>
      <name val="Times New Roman "/>
    </font>
    <font>
      <sz val="12"/>
      <color theme="1"/>
      <name val="Times New Roman "/>
    </font>
    <font>
      <b/>
      <sz val="14"/>
      <color theme="1"/>
      <name val="Times New Roman"/>
      <family val="1"/>
    </font>
    <font>
      <b/>
      <i/>
      <sz val="12"/>
      <color rgb="FF231F20"/>
      <name val="Times New Roman "/>
    </font>
    <font>
      <b/>
      <sz val="14"/>
      <color theme="1"/>
      <name val="Times New Roman l"/>
    </font>
    <font>
      <sz val="12"/>
      <color theme="1"/>
      <name val="Times New Roman l"/>
    </font>
    <font>
      <b/>
      <sz val="12"/>
      <color theme="1"/>
      <name val="Times New Roman l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2" fillId="0" borderId="4" xfId="0" applyFont="1" applyBorder="1"/>
    <xf numFmtId="0" fontId="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0" fillId="0" borderId="1" xfId="0" applyBorder="1"/>
    <xf numFmtId="0" fontId="0" fillId="0" borderId="7" xfId="0" applyBorder="1"/>
    <xf numFmtId="43" fontId="0" fillId="0" borderId="1" xfId="1" applyFont="1" applyBorder="1"/>
    <xf numFmtId="43" fontId="0" fillId="0" borderId="2" xfId="1" applyFont="1" applyBorder="1"/>
    <xf numFmtId="43" fontId="0" fillId="0" borderId="5" xfId="1" applyFont="1" applyBorder="1"/>
    <xf numFmtId="0" fontId="0" fillId="0" borderId="11" xfId="0" applyBorder="1"/>
    <xf numFmtId="43" fontId="0" fillId="0" borderId="11" xfId="1" applyFont="1" applyBorder="1"/>
    <xf numFmtId="0" fontId="0" fillId="0" borderId="9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43" fontId="0" fillId="0" borderId="12" xfId="1" applyFont="1" applyBorder="1"/>
    <xf numFmtId="10" fontId="0" fillId="0" borderId="7" xfId="2" applyNumberFormat="1" applyFont="1" applyBorder="1"/>
    <xf numFmtId="10" fontId="0" fillId="0" borderId="14" xfId="2" applyNumberFormat="1" applyFont="1" applyBorder="1"/>
    <xf numFmtId="10" fontId="0" fillId="0" borderId="5" xfId="2" applyNumberFormat="1" applyFont="1" applyBorder="1"/>
    <xf numFmtId="10" fontId="0" fillId="0" borderId="13" xfId="2" applyNumberFormat="1" applyFont="1" applyBorder="1"/>
    <xf numFmtId="0" fontId="2" fillId="0" borderId="4" xfId="0" applyFont="1" applyBorder="1" applyAlignment="1">
      <alignment horizontal="center"/>
    </xf>
    <xf numFmtId="10" fontId="7" fillId="0" borderId="11" xfId="2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10" fontId="7" fillId="0" borderId="11" xfId="2" applyNumberFormat="1" applyFont="1" applyBorder="1" applyAlignment="1">
      <alignment horizontal="center" vertical="center"/>
    </xf>
    <xf numFmtId="10" fontId="8" fillId="0" borderId="5" xfId="2" applyNumberFormat="1" applyFont="1" applyBorder="1" applyAlignment="1">
      <alignment horizontal="center"/>
    </xf>
    <xf numFmtId="0" fontId="7" fillId="0" borderId="9" xfId="0" applyFont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left" vertical="center" wrapText="1" indent="2"/>
    </xf>
    <xf numFmtId="0" fontId="9" fillId="2" borderId="7" xfId="0" applyFont="1" applyFill="1" applyBorder="1" applyAlignment="1">
      <alignment horizontal="left" vertical="center" wrapText="1" indent="4"/>
    </xf>
    <xf numFmtId="0" fontId="9" fillId="2" borderId="7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0" fillId="0" borderId="14" xfId="0" applyBorder="1"/>
    <xf numFmtId="0" fontId="7" fillId="2" borderId="10" xfId="0" applyFont="1" applyFill="1" applyBorder="1" applyAlignment="1">
      <alignment vertical="center" wrapText="1"/>
    </xf>
    <xf numFmtId="0" fontId="9" fillId="2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 indent="2"/>
    </xf>
    <xf numFmtId="43" fontId="0" fillId="0" borderId="1" xfId="1" applyFont="1" applyBorder="1" applyAlignment="1">
      <alignment horizontal="center"/>
    </xf>
    <xf numFmtId="43" fontId="0" fillId="0" borderId="3" xfId="1" applyFont="1" applyBorder="1"/>
    <xf numFmtId="0" fontId="0" fillId="0" borderId="2" xfId="0" applyBorder="1"/>
    <xf numFmtId="43" fontId="0" fillId="0" borderId="9" xfId="1" applyFont="1" applyBorder="1"/>
    <xf numFmtId="165" fontId="0" fillId="0" borderId="3" xfId="1" applyNumberFormat="1" applyFont="1" applyBorder="1"/>
    <xf numFmtId="165" fontId="0" fillId="0" borderId="3" xfId="0" applyNumberFormat="1" applyBorder="1"/>
    <xf numFmtId="166" fontId="0" fillId="0" borderId="3" xfId="1" applyNumberFormat="1" applyFont="1" applyBorder="1"/>
    <xf numFmtId="0" fontId="10" fillId="0" borderId="0" xfId="0" applyFont="1"/>
    <xf numFmtId="0" fontId="10" fillId="0" borderId="2" xfId="0" applyFont="1" applyBorder="1"/>
    <xf numFmtId="0" fontId="10" fillId="0" borderId="11" xfId="0" applyFont="1" applyBorder="1"/>
    <xf numFmtId="0" fontId="7" fillId="2" borderId="2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43" fontId="0" fillId="0" borderId="0" xfId="1" applyFont="1" applyBorder="1"/>
    <xf numFmtId="43" fontId="0" fillId="0" borderId="0" xfId="1" applyFont="1" applyBorder="1" applyAlignment="1">
      <alignment horizontal="center"/>
    </xf>
    <xf numFmtId="43" fontId="0" fillId="0" borderId="10" xfId="1" applyFont="1" applyBorder="1"/>
    <xf numFmtId="165" fontId="0" fillId="0" borderId="2" xfId="0" applyNumberFormat="1" applyBorder="1"/>
    <xf numFmtId="165" fontId="0" fillId="0" borderId="11" xfId="1" applyNumberFormat="1" applyFont="1" applyBorder="1"/>
    <xf numFmtId="43" fontId="0" fillId="0" borderId="1" xfId="0" applyNumberFormat="1" applyBorder="1"/>
    <xf numFmtId="43" fontId="0" fillId="0" borderId="0" xfId="0" applyNumberFormat="1"/>
    <xf numFmtId="43" fontId="0" fillId="0" borderId="12" xfId="0" applyNumberFormat="1" applyBorder="1"/>
    <xf numFmtId="43" fontId="0" fillId="0" borderId="10" xfId="0" applyNumberFormat="1" applyBorder="1"/>
    <xf numFmtId="43" fontId="0" fillId="0" borderId="2" xfId="0" applyNumberFormat="1" applyBorder="1"/>
    <xf numFmtId="43" fontId="0" fillId="0" borderId="11" xfId="0" applyNumberFormat="1" applyBorder="1"/>
    <xf numFmtId="0" fontId="8" fillId="2" borderId="2" xfId="0" applyFont="1" applyFill="1" applyBorder="1" applyAlignment="1">
      <alignment horizontal="center" vertical="top"/>
    </xf>
    <xf numFmtId="10" fontId="8" fillId="2" borderId="5" xfId="2" applyNumberFormat="1" applyFont="1" applyFill="1" applyBorder="1" applyAlignment="1">
      <alignment horizontal="center" vertical="top"/>
    </xf>
    <xf numFmtId="0" fontId="8" fillId="2" borderId="1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10" fontId="3" fillId="2" borderId="14" xfId="2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0" fillId="0" borderId="6" xfId="0" applyBorder="1"/>
    <xf numFmtId="0" fontId="4" fillId="2" borderId="0" xfId="0" applyFont="1" applyFill="1" applyAlignment="1">
      <alignment horizontal="right"/>
    </xf>
    <xf numFmtId="43" fontId="0" fillId="0" borderId="7" xfId="1" applyFont="1" applyBorder="1"/>
    <xf numFmtId="43" fontId="0" fillId="0" borderId="13" xfId="1" applyFont="1" applyBorder="1"/>
    <xf numFmtId="43" fontId="0" fillId="0" borderId="3" xfId="0" applyNumberFormat="1" applyBorder="1"/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2" xfId="0" applyFont="1" applyBorder="1" applyAlignment="1">
      <alignment vertical="top"/>
    </xf>
    <xf numFmtId="0" fontId="16" fillId="0" borderId="0" xfId="0" applyFont="1"/>
    <xf numFmtId="0" fontId="15" fillId="0" borderId="4" xfId="0" applyFont="1" applyBorder="1" applyAlignment="1">
      <alignment vertical="top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16" fillId="0" borderId="6" xfId="0" applyFont="1" applyBorder="1"/>
    <xf numFmtId="164" fontId="0" fillId="0" borderId="7" xfId="0" applyNumberFormat="1" applyBorder="1"/>
    <xf numFmtId="2" fontId="0" fillId="0" borderId="0" xfId="0" applyNumberFormat="1"/>
    <xf numFmtId="0" fontId="2" fillId="0" borderId="8" xfId="0" applyFont="1" applyBorder="1"/>
    <xf numFmtId="2" fontId="0" fillId="0" borderId="7" xfId="0" applyNumberFormat="1" applyBorder="1"/>
    <xf numFmtId="0" fontId="2" fillId="0" borderId="1" xfId="0" applyFont="1" applyBorder="1"/>
    <xf numFmtId="0" fontId="0" fillId="0" borderId="0" xfId="0" applyAlignment="1">
      <alignment wrapText="1"/>
    </xf>
    <xf numFmtId="43" fontId="0" fillId="0" borderId="7" xfId="0" applyNumberFormat="1" applyBorder="1"/>
    <xf numFmtId="0" fontId="0" fillId="0" borderId="14" xfId="0" applyBorder="1" applyAlignment="1">
      <alignment horizontal="right"/>
    </xf>
    <xf numFmtId="0" fontId="15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2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vertical="top"/>
    </xf>
    <xf numFmtId="43" fontId="0" fillId="0" borderId="7" xfId="1" applyFont="1" applyBorder="1" applyAlignment="1">
      <alignment horizontal="center"/>
    </xf>
    <xf numFmtId="43" fontId="0" fillId="0" borderId="14" xfId="1" applyFont="1" applyBorder="1"/>
    <xf numFmtId="165" fontId="0" fillId="0" borderId="5" xfId="1" applyNumberFormat="1" applyFont="1" applyBorder="1"/>
    <xf numFmtId="43" fontId="0" fillId="0" borderId="6" xfId="1" applyFont="1" applyBorder="1"/>
    <xf numFmtId="43" fontId="0" fillId="0" borderId="15" xfId="1" applyFont="1" applyBorder="1"/>
    <xf numFmtId="43" fontId="0" fillId="0" borderId="4" xfId="1" applyFont="1" applyBorder="1"/>
    <xf numFmtId="0" fontId="4" fillId="2" borderId="4" xfId="0" applyFont="1" applyFill="1" applyBorder="1" applyAlignment="1">
      <alignment horizontal="left" vertical="center"/>
    </xf>
    <xf numFmtId="10" fontId="0" fillId="0" borderId="0" xfId="2" applyNumberFormat="1" applyFont="1"/>
    <xf numFmtId="0" fontId="4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3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</cellXfs>
  <cellStyles count="4">
    <cellStyle name="Comma" xfId="1" builtinId="3"/>
    <cellStyle name="Comma 2" xfId="3" xr:uid="{8971C1B3-29C2-450B-AFAB-D836704318DF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EFFA-73A4-4407-B283-96B775CB655A}">
  <dimension ref="A1:G35"/>
  <sheetViews>
    <sheetView tabSelected="1" workbookViewId="0">
      <selection activeCell="C16" sqref="C16"/>
    </sheetView>
  </sheetViews>
  <sheetFormatPr defaultRowHeight="14.4"/>
  <cols>
    <col min="1" max="1" width="38.6640625" bestFit="1" customWidth="1"/>
    <col min="2" max="2" width="16.109375" customWidth="1"/>
    <col min="3" max="3" width="23.5546875" bestFit="1" customWidth="1"/>
    <col min="4" max="4" width="16.5546875" customWidth="1"/>
    <col min="5" max="5" width="23.5546875" bestFit="1" customWidth="1"/>
    <col min="6" max="6" width="18.88671875" customWidth="1"/>
    <col min="7" max="7" width="23.5546875" bestFit="1" customWidth="1"/>
  </cols>
  <sheetData>
    <row r="1" spans="1:7">
      <c r="A1" s="1" t="s">
        <v>77</v>
      </c>
    </row>
    <row r="2" spans="1:7" ht="17.399999999999999">
      <c r="A2" s="117" t="s">
        <v>43</v>
      </c>
      <c r="B2" s="117"/>
      <c r="C2" s="117"/>
      <c r="D2" s="117"/>
      <c r="E2" s="117"/>
      <c r="F2" s="117"/>
      <c r="G2" s="117"/>
    </row>
    <row r="4" spans="1:7" ht="15.6">
      <c r="A4" s="2" t="s">
        <v>76</v>
      </c>
      <c r="B4" s="116" t="s">
        <v>3</v>
      </c>
      <c r="C4" s="116"/>
      <c r="D4" s="116"/>
      <c r="E4" s="116"/>
      <c r="F4" s="116"/>
      <c r="G4" s="116"/>
    </row>
    <row r="5" spans="1:7" ht="15.6">
      <c r="A5" s="2" t="s">
        <v>1</v>
      </c>
      <c r="B5" s="29">
        <v>2024</v>
      </c>
      <c r="C5" s="28" t="s">
        <v>44</v>
      </c>
      <c r="D5" s="29">
        <v>2023</v>
      </c>
      <c r="E5" s="30" t="s">
        <v>45</v>
      </c>
      <c r="F5" s="29">
        <v>2022</v>
      </c>
      <c r="G5" s="31" t="s">
        <v>46</v>
      </c>
    </row>
    <row r="6" spans="1:7" ht="15.6">
      <c r="A6" s="39" t="s">
        <v>48</v>
      </c>
      <c r="B6" s="20"/>
      <c r="C6" s="21"/>
      <c r="D6" s="20"/>
      <c r="E6" s="21"/>
      <c r="F6" s="20"/>
      <c r="G6" s="21"/>
    </row>
    <row r="7" spans="1:7" ht="15.6">
      <c r="A7" s="40" t="s">
        <v>49</v>
      </c>
      <c r="B7" s="13">
        <v>642637</v>
      </c>
      <c r="C7" s="23">
        <f>B7/$B$9</f>
        <v>0.99153249758919959</v>
      </c>
      <c r="D7" s="13">
        <v>605881</v>
      </c>
      <c r="E7" s="23">
        <f>D7/$D$9</f>
        <v>0.99115312070068329</v>
      </c>
      <c r="F7" s="13">
        <v>567762</v>
      </c>
      <c r="G7" s="23">
        <f>F7/$F$9</f>
        <v>0.99128421626038399</v>
      </c>
    </row>
    <row r="8" spans="1:7" ht="15.6">
      <c r="A8" s="40" t="s">
        <v>50</v>
      </c>
      <c r="B8" s="13">
        <v>5488</v>
      </c>
      <c r="C8" s="23">
        <f>B8/$B$9</f>
        <v>8.467502410800385E-3</v>
      </c>
      <c r="D8" s="13">
        <v>5408</v>
      </c>
      <c r="E8" s="23">
        <f>D8/$D$9</f>
        <v>8.8468792993166897E-3</v>
      </c>
      <c r="F8" s="13">
        <v>4992</v>
      </c>
      <c r="G8" s="23">
        <f t="shared" ref="G8:G25" si="0">F8/$F$9</f>
        <v>8.71578373961596E-3</v>
      </c>
    </row>
    <row r="9" spans="1:7" ht="15.6">
      <c r="A9" s="41" t="s">
        <v>51</v>
      </c>
      <c r="B9" s="22">
        <f>SUM(B7:B8)</f>
        <v>648125</v>
      </c>
      <c r="C9" s="26">
        <f>B9/$B$9</f>
        <v>1</v>
      </c>
      <c r="D9" s="22">
        <f>SUM(D7:D8)</f>
        <v>611289</v>
      </c>
      <c r="E9" s="26">
        <f>D9/$D$9</f>
        <v>1</v>
      </c>
      <c r="F9" s="22">
        <f>SUM(F7:F8)</f>
        <v>572754</v>
      </c>
      <c r="G9" s="26">
        <f t="shared" si="0"/>
        <v>1</v>
      </c>
    </row>
    <row r="10" spans="1:7" ht="15.6">
      <c r="A10" s="42" t="s">
        <v>52</v>
      </c>
      <c r="B10" s="11"/>
      <c r="C10" s="12"/>
      <c r="D10" s="13"/>
      <c r="E10" s="12"/>
      <c r="F10" s="13"/>
      <c r="G10" s="23">
        <f t="shared" si="0"/>
        <v>0</v>
      </c>
    </row>
    <row r="11" spans="1:7" ht="15.6">
      <c r="A11" s="43" t="s">
        <v>53</v>
      </c>
      <c r="B11" s="13">
        <v>490142</v>
      </c>
      <c r="C11" s="23">
        <f t="shared" ref="C11:C12" si="1">B11/$B$9</f>
        <v>0.7562460945033751</v>
      </c>
      <c r="D11" s="13">
        <v>463721</v>
      </c>
      <c r="E11" s="23">
        <f>D11/$D$9</f>
        <v>0.75859536160474017</v>
      </c>
      <c r="F11" s="13">
        <v>429000</v>
      </c>
      <c r="G11" s="23">
        <f t="shared" si="0"/>
        <v>0.7490126651232466</v>
      </c>
    </row>
    <row r="12" spans="1:7" ht="31.2">
      <c r="A12" s="34" t="s">
        <v>54</v>
      </c>
      <c r="B12" s="13">
        <v>130971</v>
      </c>
      <c r="C12" s="23">
        <f t="shared" si="1"/>
        <v>0.20207675988428159</v>
      </c>
      <c r="D12" s="13">
        <v>127140</v>
      </c>
      <c r="E12" s="23">
        <f>D12/$D$9</f>
        <v>0.20798672968105103</v>
      </c>
      <c r="F12" s="13">
        <v>117812</v>
      </c>
      <c r="G12" s="23">
        <f t="shared" si="0"/>
        <v>0.20569389301515137</v>
      </c>
    </row>
    <row r="13" spans="1:7" ht="15.6">
      <c r="A13" s="33" t="s">
        <v>55</v>
      </c>
      <c r="B13" s="22">
        <f>B9-B11-B12</f>
        <v>27012</v>
      </c>
      <c r="C13" s="26">
        <f>B13/$B$9</f>
        <v>4.16771456123433E-2</v>
      </c>
      <c r="D13" s="22">
        <f>D9-D11-D12</f>
        <v>20428</v>
      </c>
      <c r="E13" s="26">
        <f>D13/$D$9</f>
        <v>3.3417908714208827E-2</v>
      </c>
      <c r="F13" s="22">
        <f>F9-F11-F12</f>
        <v>25942</v>
      </c>
      <c r="G13" s="26">
        <f t="shared" si="0"/>
        <v>4.5293441861602016E-2</v>
      </c>
    </row>
    <row r="14" spans="1:7" ht="15.6">
      <c r="A14" s="33" t="s">
        <v>56</v>
      </c>
      <c r="B14" s="13"/>
      <c r="C14" s="12"/>
      <c r="D14" s="13"/>
      <c r="E14" s="12"/>
      <c r="F14" s="13"/>
      <c r="G14" s="23">
        <f t="shared" si="0"/>
        <v>0</v>
      </c>
    </row>
    <row r="15" spans="1:7" ht="15.6">
      <c r="A15" s="34" t="s">
        <v>57</v>
      </c>
      <c r="B15" s="13">
        <v>2259</v>
      </c>
      <c r="C15" s="23">
        <f t="shared" ref="C15:C25" si="2">B15/$B$9</f>
        <v>3.4854387656702026E-3</v>
      </c>
      <c r="D15" s="13">
        <v>1787</v>
      </c>
      <c r="E15" s="23">
        <f t="shared" ref="E15:E17" si="3">D15/$D$9</f>
        <v>2.9233308631432921E-3</v>
      </c>
      <c r="F15" s="13">
        <v>1674</v>
      </c>
      <c r="G15" s="23">
        <f t="shared" si="0"/>
        <v>2.9227207492221793E-3</v>
      </c>
    </row>
    <row r="16" spans="1:7" ht="15.6">
      <c r="A16" s="34" t="s">
        <v>58</v>
      </c>
      <c r="B16" s="13">
        <v>424</v>
      </c>
      <c r="C16" s="23">
        <f t="shared" si="2"/>
        <v>6.5419479267116686E-4</v>
      </c>
      <c r="D16" s="13">
        <v>341</v>
      </c>
      <c r="E16" s="23">
        <f t="shared" si="3"/>
        <v>5.5783761854049394E-4</v>
      </c>
      <c r="F16" s="13">
        <v>320</v>
      </c>
      <c r="G16" s="23">
        <f t="shared" si="0"/>
        <v>5.5870408587281801E-4</v>
      </c>
    </row>
    <row r="17" spans="1:7" ht="15.6">
      <c r="A17" s="34" t="s">
        <v>59</v>
      </c>
      <c r="B17" s="13">
        <v>-546</v>
      </c>
      <c r="C17" s="23">
        <f t="shared" si="2"/>
        <v>-8.424300867888139E-4</v>
      </c>
      <c r="D17" s="13">
        <v>-254</v>
      </c>
      <c r="E17" s="23">
        <f t="shared" si="3"/>
        <v>-4.1551541087766998E-4</v>
      </c>
      <c r="F17" s="13">
        <v>-158</v>
      </c>
      <c r="G17" s="23">
        <f t="shared" si="0"/>
        <v>-2.758601423997039E-4</v>
      </c>
    </row>
    <row r="18" spans="1:7" ht="15.6">
      <c r="A18" s="35" t="s">
        <v>60</v>
      </c>
      <c r="B18" s="22">
        <f>SUM(B15:B17)</f>
        <v>2137</v>
      </c>
      <c r="C18" s="26">
        <f t="shared" si="2"/>
        <v>3.2972034715525555E-3</v>
      </c>
      <c r="D18" s="22">
        <f>SUM(D15:D17)</f>
        <v>1874</v>
      </c>
      <c r="E18" s="26">
        <f>D18/$D$9</f>
        <v>3.0656530708061164E-3</v>
      </c>
      <c r="F18" s="22">
        <f>SUM(F15:F17)</f>
        <v>1836</v>
      </c>
      <c r="G18" s="26">
        <f t="shared" si="0"/>
        <v>3.2055646926952932E-3</v>
      </c>
    </row>
    <row r="19" spans="1:7" ht="15.6">
      <c r="A19" s="36" t="s">
        <v>61</v>
      </c>
      <c r="B19" s="44" t="s">
        <v>75</v>
      </c>
      <c r="C19" s="12"/>
      <c r="D19" s="44" t="s">
        <v>75</v>
      </c>
      <c r="E19" s="12"/>
      <c r="F19" s="13">
        <v>2410</v>
      </c>
      <c r="G19" s="23">
        <f t="shared" si="0"/>
        <v>4.2077401467296603E-3</v>
      </c>
    </row>
    <row r="20" spans="1:7" ht="15.6">
      <c r="A20" s="36" t="s">
        <v>62</v>
      </c>
      <c r="B20" s="13">
        <v>3027</v>
      </c>
      <c r="C20" s="23">
        <f t="shared" si="2"/>
        <v>4.6703953712632596E-3</v>
      </c>
      <c r="D20" s="13">
        <v>1538</v>
      </c>
      <c r="E20" s="23">
        <f t="shared" ref="E20:E25" si="4">D20/$D$9</f>
        <v>2.5159948894876239E-3</v>
      </c>
      <c r="F20" s="13">
        <v>3000</v>
      </c>
      <c r="G20" s="23">
        <f t="shared" si="0"/>
        <v>5.2378508050576686E-3</v>
      </c>
    </row>
    <row r="21" spans="1:7" ht="15.6">
      <c r="A21" s="33" t="s">
        <v>63</v>
      </c>
      <c r="B21" s="22">
        <f>B13-B18-B20</f>
        <v>21848</v>
      </c>
      <c r="C21" s="26">
        <f t="shared" si="2"/>
        <v>3.3709546769527483E-2</v>
      </c>
      <c r="D21" s="22">
        <f>D13-D18-D20</f>
        <v>17016</v>
      </c>
      <c r="E21" s="26">
        <f t="shared" si="4"/>
        <v>2.7836260753915088E-2</v>
      </c>
      <c r="F21" s="22">
        <f>F13-F18-F19-F20</f>
        <v>18696</v>
      </c>
      <c r="G21" s="26">
        <f t="shared" si="0"/>
        <v>3.2642286217119391E-2</v>
      </c>
    </row>
    <row r="22" spans="1:7" ht="15.6">
      <c r="A22" s="36" t="s">
        <v>64</v>
      </c>
      <c r="B22" s="45">
        <v>5578</v>
      </c>
      <c r="C22" s="23">
        <f t="shared" si="2"/>
        <v>8.6063645130183223E-3</v>
      </c>
      <c r="D22" s="47">
        <v>5724</v>
      </c>
      <c r="E22" s="23">
        <f t="shared" si="4"/>
        <v>9.3638197317471774E-3</v>
      </c>
      <c r="F22" s="45">
        <v>4756</v>
      </c>
      <c r="G22" s="23">
        <f t="shared" si="0"/>
        <v>8.3037394762847574E-3</v>
      </c>
    </row>
    <row r="23" spans="1:7" ht="15.6">
      <c r="A23" s="33" t="s">
        <v>65</v>
      </c>
      <c r="B23" s="13">
        <f>B21-B22</f>
        <v>16270</v>
      </c>
      <c r="C23" s="26">
        <f t="shared" si="2"/>
        <v>2.5103182256509159E-2</v>
      </c>
      <c r="D23" s="13">
        <f>D21-D22</f>
        <v>11292</v>
      </c>
      <c r="E23" s="26">
        <f t="shared" si="4"/>
        <v>1.8472441022167909E-2</v>
      </c>
      <c r="F23" s="13">
        <f>F21-F22</f>
        <v>13940</v>
      </c>
      <c r="G23" s="26">
        <f t="shared" si="0"/>
        <v>2.4338546740834636E-2</v>
      </c>
    </row>
    <row r="24" spans="1:7" ht="31.2">
      <c r="A24" s="36" t="s">
        <v>66</v>
      </c>
      <c r="B24" s="13">
        <v>-759</v>
      </c>
      <c r="C24" s="23">
        <f t="shared" si="2"/>
        <v>-1.1710703953712633E-3</v>
      </c>
      <c r="D24" s="13">
        <v>388</v>
      </c>
      <c r="E24" s="23">
        <f t="shared" si="4"/>
        <v>6.3472432842730687E-4</v>
      </c>
      <c r="F24" s="13">
        <v>-267</v>
      </c>
      <c r="G24" s="23">
        <f t="shared" si="0"/>
        <v>-4.6616872165013254E-4</v>
      </c>
    </row>
    <row r="25" spans="1:7" ht="31.2">
      <c r="A25" s="33" t="s">
        <v>67</v>
      </c>
      <c r="B25" s="14">
        <f>SUM(B23:B24)</f>
        <v>15511</v>
      </c>
      <c r="C25" s="25">
        <f t="shared" si="2"/>
        <v>2.3932111861137896E-2</v>
      </c>
      <c r="D25" s="14">
        <f>SUM(D23:D24)</f>
        <v>11680</v>
      </c>
      <c r="E25" s="25">
        <f t="shared" si="4"/>
        <v>1.9107165350595218E-2</v>
      </c>
      <c r="F25" s="14">
        <f>SUM(F23:F24)</f>
        <v>13673</v>
      </c>
      <c r="G25" s="25">
        <f t="shared" si="0"/>
        <v>2.3872378019184501E-2</v>
      </c>
    </row>
    <row r="26" spans="1:7" ht="15.6">
      <c r="A26" s="37"/>
      <c r="B26" s="13"/>
      <c r="C26" s="12"/>
      <c r="D26" s="13"/>
      <c r="E26" s="12"/>
      <c r="F26" s="13"/>
      <c r="G26" s="12"/>
    </row>
    <row r="27" spans="1:7" ht="15.6">
      <c r="A27" s="33" t="s">
        <v>68</v>
      </c>
      <c r="B27" s="13"/>
      <c r="C27" s="12"/>
      <c r="D27" s="13"/>
      <c r="E27" s="12"/>
      <c r="F27" s="13"/>
      <c r="G27" s="12"/>
    </row>
    <row r="28" spans="1:7" ht="31.2">
      <c r="A28" s="34" t="s">
        <v>69</v>
      </c>
      <c r="B28" s="13">
        <v>1.92</v>
      </c>
      <c r="C28" s="12"/>
      <c r="D28" s="13">
        <v>1.43</v>
      </c>
      <c r="E28" s="12"/>
      <c r="F28" s="13">
        <v>1.63</v>
      </c>
      <c r="G28" s="12"/>
    </row>
    <row r="29" spans="1:7" ht="31.2">
      <c r="A29" s="34" t="s">
        <v>70</v>
      </c>
      <c r="B29" s="13">
        <v>1.91</v>
      </c>
      <c r="C29" s="12"/>
      <c r="D29" s="13">
        <v>1.42</v>
      </c>
      <c r="E29" s="12"/>
      <c r="F29" s="13">
        <v>1.62</v>
      </c>
      <c r="G29" s="12"/>
    </row>
    <row r="30" spans="1:7" ht="15.6">
      <c r="A30" s="37"/>
      <c r="B30" s="13"/>
      <c r="C30" s="12"/>
      <c r="D30" s="13"/>
      <c r="E30" s="12"/>
      <c r="F30" s="13"/>
      <c r="G30" s="12"/>
    </row>
    <row r="31" spans="1:7" ht="31.2">
      <c r="A31" s="33" t="s">
        <v>71</v>
      </c>
      <c r="B31" s="13"/>
      <c r="C31" s="12"/>
      <c r="D31" s="13"/>
      <c r="E31" s="12"/>
      <c r="F31" s="13"/>
      <c r="G31" s="12"/>
    </row>
    <row r="32" spans="1:7" ht="15.6">
      <c r="A32" s="34" t="s">
        <v>72</v>
      </c>
      <c r="B32" s="13">
        <v>8077</v>
      </c>
      <c r="C32" s="12"/>
      <c r="D32" s="13">
        <v>8171</v>
      </c>
      <c r="E32" s="12"/>
      <c r="F32" s="13">
        <v>8376</v>
      </c>
      <c r="G32" s="12"/>
    </row>
    <row r="33" spans="1:7" ht="15.6">
      <c r="A33" s="34" t="s">
        <v>73</v>
      </c>
      <c r="B33" s="13">
        <v>8108</v>
      </c>
      <c r="C33" s="12"/>
      <c r="D33" s="13">
        <v>8202</v>
      </c>
      <c r="E33" s="12"/>
      <c r="F33" s="13">
        <v>8415</v>
      </c>
      <c r="G33" s="12"/>
    </row>
    <row r="34" spans="1:7" ht="15.6">
      <c r="A34" s="37"/>
      <c r="B34" s="13"/>
      <c r="C34" s="12"/>
      <c r="D34" s="13"/>
      <c r="E34" s="12"/>
      <c r="F34" s="13"/>
      <c r="G34" s="12"/>
    </row>
    <row r="35" spans="1:7" ht="15.6">
      <c r="A35" s="32" t="s">
        <v>74</v>
      </c>
      <c r="B35" s="49">
        <v>0.76</v>
      </c>
      <c r="C35" s="38"/>
      <c r="D35" s="48">
        <v>0.74670000000000003</v>
      </c>
      <c r="E35" s="38"/>
      <c r="F35" s="50">
        <v>0.73329999999999995</v>
      </c>
      <c r="G35" s="38"/>
    </row>
  </sheetData>
  <mergeCells count="2">
    <mergeCell ref="B4:G4"/>
    <mergeCell ref="A2:G2"/>
  </mergeCells>
  <pageMargins left="0.7" right="0.7" top="0.75" bottom="0.75" header="0.3" footer="0.3"/>
  <ignoredErrors>
    <ignoredError sqref="C9:C23 C25 E9:E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3543-2286-4F81-9DE4-5FA7E0C4FD14}">
  <dimension ref="A3:H34"/>
  <sheetViews>
    <sheetView topLeftCell="D1" zoomScale="79" workbookViewId="0">
      <selection activeCell="M10" sqref="M10"/>
    </sheetView>
  </sheetViews>
  <sheetFormatPr defaultRowHeight="14.4"/>
  <cols>
    <col min="1" max="1" width="62.77734375" bestFit="1" customWidth="1"/>
    <col min="2" max="4" width="11.109375" bestFit="1" customWidth="1"/>
  </cols>
  <sheetData>
    <row r="3" spans="1:8" ht="16.2">
      <c r="A3" s="56" t="s">
        <v>76</v>
      </c>
      <c r="B3" s="116" t="s">
        <v>187</v>
      </c>
      <c r="C3" s="116"/>
      <c r="D3" s="116"/>
      <c r="E3" s="106"/>
      <c r="F3" s="106"/>
      <c r="G3" s="106"/>
      <c r="H3" s="106"/>
    </row>
    <row r="4" spans="1:8" ht="15.6">
      <c r="A4" s="2" t="s">
        <v>1</v>
      </c>
      <c r="B4" s="54">
        <v>2024</v>
      </c>
      <c r="C4" s="55">
        <v>2023</v>
      </c>
      <c r="D4" s="107">
        <v>2022</v>
      </c>
    </row>
    <row r="5" spans="1:8" ht="15.6">
      <c r="A5" s="101" t="s">
        <v>48</v>
      </c>
      <c r="D5" s="12"/>
    </row>
    <row r="6" spans="1:8" ht="15.6">
      <c r="A6" s="102" t="s">
        <v>49</v>
      </c>
      <c r="B6" s="13">
        <v>642637</v>
      </c>
      <c r="C6" s="58">
        <v>605881</v>
      </c>
      <c r="D6" s="79">
        <v>567762</v>
      </c>
    </row>
    <row r="7" spans="1:8" ht="15.6">
      <c r="A7" s="102" t="s">
        <v>50</v>
      </c>
      <c r="B7" s="13">
        <v>5488</v>
      </c>
      <c r="C7" s="58">
        <v>5408</v>
      </c>
      <c r="D7" s="79">
        <v>4992</v>
      </c>
    </row>
    <row r="8" spans="1:8" ht="15.6">
      <c r="A8" s="102" t="s">
        <v>51</v>
      </c>
      <c r="B8" s="22">
        <f>SUM(B6:B7)</f>
        <v>648125</v>
      </c>
      <c r="C8" s="60">
        <f>SUM(C6:C7)</f>
        <v>611289</v>
      </c>
      <c r="D8" s="80">
        <f>SUM(D6:D7)</f>
        <v>572754</v>
      </c>
    </row>
    <row r="9" spans="1:8" ht="15.6">
      <c r="A9" s="101" t="s">
        <v>52</v>
      </c>
      <c r="B9" s="11"/>
      <c r="C9" s="58"/>
      <c r="D9" s="79"/>
    </row>
    <row r="10" spans="1:8" ht="15.6">
      <c r="A10" s="102" t="s">
        <v>53</v>
      </c>
      <c r="B10" s="13">
        <v>490142</v>
      </c>
      <c r="C10" s="58">
        <v>463721</v>
      </c>
      <c r="D10" s="79">
        <v>429000</v>
      </c>
    </row>
    <row r="11" spans="1:8" ht="15.6">
      <c r="A11" s="102" t="s">
        <v>54</v>
      </c>
      <c r="B11" s="13">
        <v>130971</v>
      </c>
      <c r="C11" s="58">
        <v>127140</v>
      </c>
      <c r="D11" s="79">
        <v>117812</v>
      </c>
    </row>
    <row r="12" spans="1:8" ht="15.6">
      <c r="A12" s="101" t="s">
        <v>55</v>
      </c>
      <c r="B12" s="22">
        <f>B8-B10-B11</f>
        <v>27012</v>
      </c>
      <c r="C12" s="60">
        <f>C8-C10-C11</f>
        <v>20428</v>
      </c>
      <c r="D12" s="80">
        <f>D8-D10-D11</f>
        <v>25942</v>
      </c>
    </row>
    <row r="13" spans="1:8" ht="15.6">
      <c r="A13" s="101" t="s">
        <v>56</v>
      </c>
      <c r="B13" s="13"/>
      <c r="C13" s="58"/>
      <c r="D13" s="79"/>
    </row>
    <row r="14" spans="1:8" ht="15.6">
      <c r="A14" s="102" t="s">
        <v>57</v>
      </c>
      <c r="B14" s="13">
        <v>2259</v>
      </c>
      <c r="C14" s="58">
        <v>1787</v>
      </c>
      <c r="D14" s="79">
        <v>1674</v>
      </c>
    </row>
    <row r="15" spans="1:8" ht="15.6">
      <c r="A15" s="102" t="s">
        <v>58</v>
      </c>
      <c r="B15" s="13">
        <v>424</v>
      </c>
      <c r="C15" s="58">
        <v>341</v>
      </c>
      <c r="D15" s="79">
        <v>320</v>
      </c>
    </row>
    <row r="16" spans="1:8" ht="15.6">
      <c r="A16" s="102" t="s">
        <v>59</v>
      </c>
      <c r="B16" s="13">
        <v>-546</v>
      </c>
      <c r="C16" s="58">
        <v>-254</v>
      </c>
      <c r="D16" s="79">
        <v>-158</v>
      </c>
    </row>
    <row r="17" spans="1:4" ht="15.6">
      <c r="A17" s="102" t="s">
        <v>60</v>
      </c>
      <c r="B17" s="22">
        <f>SUM(B14:B16)</f>
        <v>2137</v>
      </c>
      <c r="C17" s="60">
        <f>SUM(C14:C16)</f>
        <v>1874</v>
      </c>
      <c r="D17" s="80">
        <f>SUM(D14:D16)</f>
        <v>1836</v>
      </c>
    </row>
    <row r="18" spans="1:4" ht="15.6">
      <c r="A18" s="103" t="s">
        <v>61</v>
      </c>
      <c r="B18" s="44">
        <v>0</v>
      </c>
      <c r="C18" s="59">
        <v>0</v>
      </c>
      <c r="D18" s="108">
        <v>2410</v>
      </c>
    </row>
    <row r="19" spans="1:4" ht="15.6">
      <c r="A19" s="103" t="s">
        <v>62</v>
      </c>
      <c r="B19" s="13">
        <v>3027</v>
      </c>
      <c r="C19" s="58">
        <v>1538</v>
      </c>
      <c r="D19" s="79">
        <v>3000</v>
      </c>
    </row>
    <row r="20" spans="1:4" ht="15.6">
      <c r="A20" s="101" t="s">
        <v>63</v>
      </c>
      <c r="B20" s="22">
        <f>B12-B17-B19</f>
        <v>21848</v>
      </c>
      <c r="C20" s="60">
        <f>C12-C17-C19</f>
        <v>17016</v>
      </c>
      <c r="D20" s="80">
        <f>D12-D17-D19-D18</f>
        <v>18696</v>
      </c>
    </row>
    <row r="21" spans="1:4" ht="15.6">
      <c r="A21" s="103" t="s">
        <v>64</v>
      </c>
      <c r="B21" s="45">
        <v>5578</v>
      </c>
      <c r="C21" s="58">
        <v>5724</v>
      </c>
      <c r="D21" s="79">
        <v>4756</v>
      </c>
    </row>
    <row r="22" spans="1:4" ht="15.6">
      <c r="A22" s="101" t="s">
        <v>65</v>
      </c>
      <c r="B22" s="13">
        <f>B20-B21</f>
        <v>16270</v>
      </c>
      <c r="C22" s="60">
        <f>C20-C21</f>
        <v>11292</v>
      </c>
      <c r="D22" s="80">
        <f>D20-D21</f>
        <v>13940</v>
      </c>
    </row>
    <row r="23" spans="1:4" ht="15.6">
      <c r="A23" s="103" t="s">
        <v>66</v>
      </c>
      <c r="B23" s="13">
        <v>-759</v>
      </c>
      <c r="C23" s="47">
        <v>388</v>
      </c>
      <c r="D23" s="109">
        <v>-267</v>
      </c>
    </row>
    <row r="24" spans="1:4" ht="15.6">
      <c r="A24" s="101" t="s">
        <v>67</v>
      </c>
      <c r="B24" s="14">
        <f>SUM(B22:B23)</f>
        <v>15511</v>
      </c>
      <c r="C24" s="58">
        <f>SUM(C22:C23)</f>
        <v>11680</v>
      </c>
      <c r="D24" s="79">
        <f>SUM(D22:D23)</f>
        <v>13673</v>
      </c>
    </row>
    <row r="25" spans="1:4" ht="15.6">
      <c r="A25" s="104"/>
      <c r="B25" s="13"/>
      <c r="C25" s="60"/>
      <c r="D25" s="80"/>
    </row>
    <row r="26" spans="1:4" ht="15.6">
      <c r="A26" s="101" t="s">
        <v>68</v>
      </c>
      <c r="B26" s="13"/>
      <c r="C26" s="58"/>
      <c r="D26" s="79"/>
    </row>
    <row r="27" spans="1:4" ht="15.6">
      <c r="A27" s="102" t="s">
        <v>69</v>
      </c>
      <c r="B27" s="13">
        <v>1.92</v>
      </c>
      <c r="C27" s="58">
        <v>1.43</v>
      </c>
      <c r="D27" s="79">
        <v>1.63</v>
      </c>
    </row>
    <row r="28" spans="1:4" ht="15.6">
      <c r="A28" s="102" t="s">
        <v>70</v>
      </c>
      <c r="B28" s="13">
        <v>1.91</v>
      </c>
      <c r="C28" s="58">
        <v>1.42</v>
      </c>
      <c r="D28" s="79">
        <v>1.62</v>
      </c>
    </row>
    <row r="29" spans="1:4" ht="15.6">
      <c r="A29" s="104"/>
      <c r="B29" s="13"/>
      <c r="C29" s="58"/>
      <c r="D29" s="79"/>
    </row>
    <row r="30" spans="1:4" ht="15.6">
      <c r="A30" s="101" t="s">
        <v>71</v>
      </c>
      <c r="B30" s="13"/>
      <c r="C30" s="58"/>
      <c r="D30" s="79"/>
    </row>
    <row r="31" spans="1:4" ht="15.6">
      <c r="A31" s="102" t="s">
        <v>72</v>
      </c>
      <c r="B31" s="13">
        <v>8077</v>
      </c>
      <c r="C31" s="58">
        <v>8171</v>
      </c>
      <c r="D31" s="79">
        <v>8376</v>
      </c>
    </row>
    <row r="32" spans="1:4" ht="15.6">
      <c r="A32" s="102" t="s">
        <v>73</v>
      </c>
      <c r="B32" s="13">
        <v>8108</v>
      </c>
      <c r="C32" s="58">
        <v>8202</v>
      </c>
      <c r="D32" s="79">
        <v>8415</v>
      </c>
    </row>
    <row r="33" spans="1:4" ht="15.6">
      <c r="A33" s="104"/>
      <c r="B33" s="13"/>
      <c r="C33" s="58"/>
      <c r="D33" s="79"/>
    </row>
    <row r="34" spans="1:4" ht="15.6">
      <c r="A34" s="105" t="s">
        <v>74</v>
      </c>
      <c r="B34" s="61">
        <v>0.76</v>
      </c>
      <c r="C34" s="62">
        <v>0.74670000000000003</v>
      </c>
      <c r="D34" s="110">
        <v>0.73329999999999995</v>
      </c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CA2F-41E5-423D-B1C8-208974A674D4}">
  <dimension ref="A3:E47"/>
  <sheetViews>
    <sheetView zoomScale="65" workbookViewId="0">
      <selection activeCell="K1" sqref="K1"/>
    </sheetView>
  </sheetViews>
  <sheetFormatPr defaultRowHeight="14.4"/>
  <cols>
    <col min="1" max="1" width="80.77734375" customWidth="1"/>
    <col min="2" max="3" width="12.21875" bestFit="1" customWidth="1"/>
  </cols>
  <sheetData>
    <row r="3" spans="1:5">
      <c r="A3" s="2" t="s">
        <v>4</v>
      </c>
      <c r="B3" s="118" t="s">
        <v>3</v>
      </c>
      <c r="C3" s="119"/>
      <c r="D3" s="1"/>
      <c r="E3" s="1"/>
    </row>
    <row r="4" spans="1:5">
      <c r="A4" s="2" t="s">
        <v>1</v>
      </c>
      <c r="B4" s="27">
        <v>2024</v>
      </c>
      <c r="C4" s="27">
        <v>2023</v>
      </c>
    </row>
    <row r="5" spans="1:5" ht="15.6">
      <c r="A5" s="3" t="s">
        <v>5</v>
      </c>
      <c r="B5" s="11"/>
      <c r="C5" s="77"/>
    </row>
    <row r="6" spans="1:5" ht="15.6">
      <c r="A6" s="3" t="s">
        <v>6</v>
      </c>
      <c r="B6" s="11"/>
      <c r="C6" s="77"/>
    </row>
    <row r="7" spans="1:5" ht="15.6">
      <c r="A7" s="4" t="s">
        <v>25</v>
      </c>
      <c r="B7" s="13">
        <v>9867</v>
      </c>
      <c r="C7" s="111">
        <v>8625</v>
      </c>
    </row>
    <row r="8" spans="1:5" ht="15.6">
      <c r="A8" s="4" t="s">
        <v>26</v>
      </c>
      <c r="B8" s="13">
        <v>8796</v>
      </c>
      <c r="C8" s="111">
        <v>7933</v>
      </c>
    </row>
    <row r="9" spans="1:5" ht="15.6">
      <c r="A9" s="4" t="s">
        <v>27</v>
      </c>
      <c r="B9" s="13">
        <v>54892</v>
      </c>
      <c r="C9" s="111">
        <v>56576</v>
      </c>
    </row>
    <row r="10" spans="1:5" ht="15.6">
      <c r="A10" s="4" t="s">
        <v>28</v>
      </c>
      <c r="B10" s="13">
        <v>3322</v>
      </c>
      <c r="C10" s="111">
        <v>2521</v>
      </c>
    </row>
    <row r="11" spans="1:5" ht="15.6">
      <c r="A11" s="5" t="s">
        <v>29</v>
      </c>
      <c r="B11" s="22">
        <f>SUM(B7:B10)</f>
        <v>76877</v>
      </c>
      <c r="C11" s="112">
        <f>SUM(C7:C10)</f>
        <v>75655</v>
      </c>
    </row>
    <row r="12" spans="1:5" ht="15.6">
      <c r="A12" s="6"/>
      <c r="B12" s="13"/>
      <c r="C12" s="111"/>
    </row>
    <row r="13" spans="1:5" ht="15.6">
      <c r="A13" s="7" t="s">
        <v>7</v>
      </c>
      <c r="B13" s="13">
        <v>110810</v>
      </c>
      <c r="C13" s="111">
        <v>100760</v>
      </c>
    </row>
    <row r="14" spans="1:5" ht="15.6">
      <c r="A14" s="7" t="s">
        <v>8</v>
      </c>
      <c r="B14" s="13">
        <v>13673</v>
      </c>
      <c r="C14" s="111">
        <v>13555</v>
      </c>
    </row>
    <row r="15" spans="1:5" ht="15.6">
      <c r="A15" s="7" t="s">
        <v>9</v>
      </c>
      <c r="B15" s="13">
        <v>5855</v>
      </c>
      <c r="C15" s="111">
        <v>4919</v>
      </c>
    </row>
    <row r="16" spans="1:5" ht="15.6">
      <c r="A16" s="7" t="s">
        <v>10</v>
      </c>
      <c r="B16" s="13">
        <v>28113</v>
      </c>
      <c r="C16" s="111">
        <v>28174</v>
      </c>
    </row>
    <row r="17" spans="1:3" ht="15.6">
      <c r="A17" s="7" t="s">
        <v>11</v>
      </c>
      <c r="B17" s="13">
        <v>17071</v>
      </c>
      <c r="C17" s="111">
        <v>20134</v>
      </c>
    </row>
    <row r="18" spans="1:3" ht="15.6">
      <c r="A18" s="114" t="s">
        <v>12</v>
      </c>
      <c r="B18" s="113">
        <f>SUM(B11:B17)</f>
        <v>252399</v>
      </c>
      <c r="C18" s="15">
        <f>SUM(C11:C17)</f>
        <v>243197</v>
      </c>
    </row>
    <row r="19" spans="1:3" ht="15.6">
      <c r="A19" s="3" t="s">
        <v>13</v>
      </c>
      <c r="B19" s="11"/>
      <c r="C19" s="77"/>
    </row>
    <row r="20" spans="1:3" ht="15.6">
      <c r="A20" s="3" t="s">
        <v>14</v>
      </c>
      <c r="B20" s="11"/>
      <c r="C20" s="77"/>
    </row>
    <row r="21" spans="1:3" ht="15.6">
      <c r="A21" s="9" t="s">
        <v>30</v>
      </c>
      <c r="B21" s="13">
        <v>878</v>
      </c>
      <c r="C21" s="111">
        <v>372</v>
      </c>
    </row>
    <row r="22" spans="1:3" ht="15.6">
      <c r="A22" s="9" t="s">
        <v>31</v>
      </c>
      <c r="B22" s="13">
        <v>56812</v>
      </c>
      <c r="C22" s="111">
        <v>53742</v>
      </c>
    </row>
    <row r="23" spans="1:3" ht="15.6">
      <c r="A23" s="9" t="s">
        <v>32</v>
      </c>
      <c r="B23" s="13">
        <v>28759</v>
      </c>
      <c r="C23" s="111">
        <v>31126</v>
      </c>
    </row>
    <row r="24" spans="1:3" ht="15.6">
      <c r="A24" s="9" t="s">
        <v>33</v>
      </c>
      <c r="B24" s="13">
        <v>307</v>
      </c>
      <c r="C24" s="111">
        <v>727</v>
      </c>
    </row>
    <row r="25" spans="1:3" ht="15.6">
      <c r="A25" s="9" t="s">
        <v>34</v>
      </c>
      <c r="B25" s="13">
        <v>3447</v>
      </c>
      <c r="C25" s="111">
        <v>4191</v>
      </c>
    </row>
    <row r="26" spans="1:3" ht="15.6">
      <c r="A26" s="9" t="s">
        <v>35</v>
      </c>
      <c r="B26" s="13">
        <v>1487</v>
      </c>
      <c r="C26" s="111">
        <v>1473</v>
      </c>
    </row>
    <row r="27" spans="1:3" ht="15.6">
      <c r="A27" s="9" t="s">
        <v>36</v>
      </c>
      <c r="B27" s="13">
        <v>725</v>
      </c>
      <c r="C27" s="111">
        <v>567</v>
      </c>
    </row>
    <row r="28" spans="1:3" ht="15.6">
      <c r="A28" s="114" t="s">
        <v>15</v>
      </c>
      <c r="B28" s="113">
        <f>SUM(B21:B27)</f>
        <v>92415</v>
      </c>
      <c r="C28" s="15">
        <f>SUM(C21:C27)</f>
        <v>92198</v>
      </c>
    </row>
    <row r="29" spans="1:3" ht="15.6">
      <c r="A29" s="6"/>
      <c r="B29" s="11"/>
      <c r="C29" s="77"/>
    </row>
    <row r="30" spans="1:3" ht="15.6">
      <c r="A30" s="7" t="s">
        <v>16</v>
      </c>
      <c r="B30" s="13">
        <v>36132</v>
      </c>
      <c r="C30" s="111">
        <v>34649</v>
      </c>
    </row>
    <row r="31" spans="1:3" ht="15.6">
      <c r="A31" s="7" t="s">
        <v>17</v>
      </c>
      <c r="B31" s="13">
        <v>12943</v>
      </c>
      <c r="C31" s="111">
        <v>12828</v>
      </c>
    </row>
    <row r="32" spans="1:3" ht="15.6">
      <c r="A32" s="7" t="s">
        <v>18</v>
      </c>
      <c r="B32" s="13">
        <v>5709</v>
      </c>
      <c r="C32" s="111">
        <v>4843</v>
      </c>
    </row>
    <row r="33" spans="1:3" ht="15.6">
      <c r="A33" s="7" t="s">
        <v>19</v>
      </c>
      <c r="B33" s="13">
        <v>14629</v>
      </c>
      <c r="C33" s="111">
        <v>14688</v>
      </c>
    </row>
    <row r="34" spans="1:3" ht="15.6">
      <c r="A34" s="6"/>
      <c r="B34" s="13"/>
      <c r="C34" s="111"/>
    </row>
    <row r="35" spans="1:3" ht="15.6">
      <c r="A35" s="7" t="s">
        <v>20</v>
      </c>
      <c r="B35" s="13"/>
      <c r="C35" s="111"/>
    </row>
    <row r="36" spans="1:3" ht="15.6">
      <c r="A36" s="6"/>
      <c r="B36" s="13"/>
      <c r="C36" s="111"/>
    </row>
    <row r="37" spans="1:3" ht="15.6">
      <c r="A37" s="7" t="s">
        <v>21</v>
      </c>
      <c r="B37" s="13">
        <v>222</v>
      </c>
      <c r="C37" s="111">
        <v>237</v>
      </c>
    </row>
    <row r="38" spans="1:3" ht="15.6">
      <c r="A38" s="6"/>
      <c r="B38" s="13"/>
      <c r="C38" s="111"/>
    </row>
    <row r="39" spans="1:3" ht="15.6">
      <c r="A39" s="3" t="s">
        <v>22</v>
      </c>
      <c r="B39" s="13"/>
      <c r="C39" s="111"/>
    </row>
    <row r="40" spans="1:3" ht="15.6">
      <c r="A40" s="9" t="s">
        <v>37</v>
      </c>
      <c r="B40" s="13">
        <v>805</v>
      </c>
      <c r="C40" s="111">
        <v>808</v>
      </c>
    </row>
    <row r="41" spans="1:3" ht="15.6">
      <c r="A41" s="9" t="s">
        <v>38</v>
      </c>
      <c r="B41" s="13">
        <v>4544</v>
      </c>
      <c r="C41" s="111">
        <v>4430</v>
      </c>
    </row>
    <row r="42" spans="1:3" ht="15.6">
      <c r="A42" s="9" t="s">
        <v>39</v>
      </c>
      <c r="B42" s="13">
        <v>89814</v>
      </c>
      <c r="C42" s="111">
        <v>83135</v>
      </c>
    </row>
    <row r="43" spans="1:3" ht="15.6">
      <c r="A43" s="9" t="s">
        <v>40</v>
      </c>
      <c r="B43" s="13">
        <v>-11302</v>
      </c>
      <c r="C43" s="111">
        <v>-11680</v>
      </c>
    </row>
    <row r="44" spans="1:3" ht="15.6">
      <c r="A44" s="9" t="s">
        <v>41</v>
      </c>
      <c r="B44" s="22">
        <f>SUM(B40:B43)</f>
        <v>83861</v>
      </c>
      <c r="C44" s="112">
        <f>SUM(C40:C43)</f>
        <v>76693</v>
      </c>
    </row>
    <row r="45" spans="1:3" ht="15.6">
      <c r="A45" s="9" t="s">
        <v>42</v>
      </c>
      <c r="B45" s="13">
        <v>6488</v>
      </c>
      <c r="C45" s="111">
        <v>7061</v>
      </c>
    </row>
    <row r="46" spans="1:3" ht="15.6">
      <c r="A46" s="114" t="s">
        <v>23</v>
      </c>
      <c r="B46" s="14">
        <f>SUM(B44:B45)</f>
        <v>90349</v>
      </c>
      <c r="C46" s="113">
        <f>SUM(C44:C45)</f>
        <v>83754</v>
      </c>
    </row>
    <row r="47" spans="1:3" ht="15.6">
      <c r="A47" s="10" t="s">
        <v>24</v>
      </c>
      <c r="B47" s="14">
        <f>B28+B30+B31+B32+B33+B37+B46</f>
        <v>252399</v>
      </c>
      <c r="C47" s="113">
        <f>C28+C30+C31+C32+C33+C37+C46</f>
        <v>243197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zoomScale="80" workbookViewId="0">
      <selection activeCell="B12" sqref="B12"/>
    </sheetView>
  </sheetViews>
  <sheetFormatPr defaultRowHeight="14.4"/>
  <cols>
    <col min="1" max="1" width="80.77734375" bestFit="1" customWidth="1"/>
    <col min="2" max="2" width="12.6640625" bestFit="1" customWidth="1"/>
    <col min="3" max="3" width="11.33203125" bestFit="1" customWidth="1"/>
    <col min="4" max="4" width="11.21875" bestFit="1" customWidth="1"/>
    <col min="5" max="5" width="11.33203125" bestFit="1" customWidth="1"/>
    <col min="6" max="6" width="15" bestFit="1" customWidth="1"/>
    <col min="8" max="8" width="10.109375" bestFit="1" customWidth="1"/>
  </cols>
  <sheetData>
    <row r="1" spans="1:8">
      <c r="A1" s="1" t="s">
        <v>77</v>
      </c>
    </row>
    <row r="2" spans="1:8" ht="17.399999999999999">
      <c r="A2" s="117" t="s">
        <v>0</v>
      </c>
      <c r="B2" s="117"/>
      <c r="C2" s="117"/>
      <c r="D2" s="117"/>
      <c r="E2" s="117"/>
      <c r="F2" s="117"/>
      <c r="G2" s="117"/>
      <c r="H2" s="117"/>
    </row>
    <row r="4" spans="1:8">
      <c r="A4" s="2" t="s">
        <v>4</v>
      </c>
      <c r="B4" s="120" t="s">
        <v>3</v>
      </c>
      <c r="C4" s="120"/>
      <c r="D4" s="120"/>
      <c r="E4" s="120"/>
    </row>
    <row r="5" spans="1:8">
      <c r="A5" s="2" t="s">
        <v>1</v>
      </c>
      <c r="B5" s="27">
        <v>2024</v>
      </c>
      <c r="C5" s="2" t="s">
        <v>2</v>
      </c>
      <c r="D5" s="27">
        <v>2023</v>
      </c>
      <c r="E5" s="2" t="s">
        <v>2</v>
      </c>
    </row>
    <row r="6" spans="1:8" ht="15.6">
      <c r="A6" s="3" t="s">
        <v>5</v>
      </c>
      <c r="B6" s="11"/>
      <c r="C6" s="12"/>
      <c r="D6" s="11"/>
      <c r="E6" s="12"/>
    </row>
    <row r="7" spans="1:8" ht="15.6">
      <c r="A7" s="3" t="s">
        <v>6</v>
      </c>
      <c r="B7" s="11"/>
      <c r="C7" s="12"/>
      <c r="D7" s="11"/>
      <c r="E7" s="12"/>
    </row>
    <row r="8" spans="1:8" ht="15.6">
      <c r="A8" s="4" t="s">
        <v>25</v>
      </c>
      <c r="B8" s="13">
        <v>9867</v>
      </c>
      <c r="C8" s="23">
        <f>B8/$B$19</f>
        <v>3.9092864868719768E-2</v>
      </c>
      <c r="D8" s="13">
        <v>8625</v>
      </c>
      <c r="E8" s="23">
        <f>D8/$D$19</f>
        <v>3.5465075638268562E-2</v>
      </c>
    </row>
    <row r="9" spans="1:8" ht="15.6">
      <c r="A9" s="4" t="s">
        <v>26</v>
      </c>
      <c r="B9" s="13">
        <v>8796</v>
      </c>
      <c r="C9" s="23">
        <f t="shared" ref="C9:C19" si="0">B9/$B$19</f>
        <v>3.4849583397715524E-2</v>
      </c>
      <c r="D9" s="13">
        <v>7933</v>
      </c>
      <c r="E9" s="23">
        <f t="shared" ref="E9:E18" si="1">D9/$D$19</f>
        <v>3.2619645801551828E-2</v>
      </c>
    </row>
    <row r="10" spans="1:8" ht="15.6">
      <c r="A10" s="4" t="s">
        <v>27</v>
      </c>
      <c r="B10" s="13">
        <v>54892</v>
      </c>
      <c r="C10" s="23">
        <f t="shared" si="0"/>
        <v>0.21748105182667127</v>
      </c>
      <c r="D10" s="13">
        <v>56576</v>
      </c>
      <c r="E10" s="23">
        <f t="shared" si="1"/>
        <v>0.23263444861573129</v>
      </c>
    </row>
    <row r="11" spans="1:8" ht="15.6">
      <c r="A11" s="4" t="s">
        <v>28</v>
      </c>
      <c r="B11" s="13">
        <v>3322</v>
      </c>
      <c r="C11" s="23">
        <f t="shared" si="0"/>
        <v>1.3161700323693834E-2</v>
      </c>
      <c r="D11" s="13">
        <v>2521</v>
      </c>
      <c r="E11" s="23">
        <f t="shared" si="1"/>
        <v>1.0366081818443484E-2</v>
      </c>
    </row>
    <row r="12" spans="1:8" ht="15.6">
      <c r="A12" s="5" t="s">
        <v>29</v>
      </c>
      <c r="B12" s="22">
        <f>SUM(B8:B11)</f>
        <v>76877</v>
      </c>
      <c r="C12" s="26">
        <f t="shared" si="0"/>
        <v>0.30458520041680037</v>
      </c>
      <c r="D12" s="22">
        <f>SUM(D8:D11)</f>
        <v>75655</v>
      </c>
      <c r="E12" s="26">
        <f t="shared" si="1"/>
        <v>0.31108525187399516</v>
      </c>
    </row>
    <row r="13" spans="1:8" ht="15.6">
      <c r="A13" s="6"/>
      <c r="B13" s="13"/>
      <c r="C13" s="23"/>
      <c r="D13" s="13"/>
      <c r="E13" s="12"/>
    </row>
    <row r="14" spans="1:8" ht="15.6">
      <c r="A14" s="7" t="s">
        <v>7</v>
      </c>
      <c r="B14" s="13">
        <v>110810</v>
      </c>
      <c r="C14" s="23">
        <f t="shared" si="0"/>
        <v>0.43902709598690959</v>
      </c>
      <c r="D14" s="13">
        <v>100760</v>
      </c>
      <c r="E14" s="23">
        <f t="shared" si="1"/>
        <v>0.41431432131152934</v>
      </c>
    </row>
    <row r="15" spans="1:8" ht="15.6">
      <c r="A15" s="7" t="s">
        <v>8</v>
      </c>
      <c r="B15" s="13">
        <v>13673</v>
      </c>
      <c r="C15" s="23">
        <f t="shared" si="0"/>
        <v>5.417216391507098E-2</v>
      </c>
      <c r="D15" s="13">
        <v>13555</v>
      </c>
      <c r="E15" s="23">
        <f t="shared" si="1"/>
        <v>5.5736707278461493E-2</v>
      </c>
    </row>
    <row r="16" spans="1:8" ht="15.6">
      <c r="A16" s="7" t="s">
        <v>9</v>
      </c>
      <c r="B16" s="13">
        <v>5855</v>
      </c>
      <c r="C16" s="23">
        <f t="shared" si="0"/>
        <v>2.3197397770989583E-2</v>
      </c>
      <c r="D16" s="13">
        <v>4919</v>
      </c>
      <c r="E16" s="23">
        <f t="shared" si="1"/>
        <v>2.0226400819089052E-2</v>
      </c>
    </row>
    <row r="17" spans="1:8" ht="15.6">
      <c r="A17" s="7" t="s">
        <v>10</v>
      </c>
      <c r="B17" s="13">
        <v>28113</v>
      </c>
      <c r="C17" s="23">
        <f t="shared" si="0"/>
        <v>0.11138316712823744</v>
      </c>
      <c r="D17" s="13">
        <v>28174</v>
      </c>
      <c r="E17" s="23">
        <f t="shared" si="1"/>
        <v>0.11584846852551635</v>
      </c>
    </row>
    <row r="18" spans="1:8" ht="15.6">
      <c r="A18" s="7" t="s">
        <v>11</v>
      </c>
      <c r="B18" s="13">
        <v>17071</v>
      </c>
      <c r="C18" s="23">
        <f t="shared" si="0"/>
        <v>6.7634974781991999E-2</v>
      </c>
      <c r="D18" s="13">
        <v>20134</v>
      </c>
      <c r="E18" s="23">
        <f t="shared" si="1"/>
        <v>8.2788850191408608E-2</v>
      </c>
    </row>
    <row r="19" spans="1:8" ht="15.6">
      <c r="A19" s="8" t="s">
        <v>12</v>
      </c>
      <c r="B19" s="14">
        <f>SUM(B12:B18)</f>
        <v>252399</v>
      </c>
      <c r="C19" s="25">
        <f t="shared" si="0"/>
        <v>1</v>
      </c>
      <c r="D19" s="17">
        <f>SUM(D12:D18)</f>
        <v>243197</v>
      </c>
      <c r="E19" s="25">
        <f>D19/$D$19</f>
        <v>1</v>
      </c>
    </row>
    <row r="20" spans="1:8" ht="15.6">
      <c r="A20" s="3" t="s">
        <v>13</v>
      </c>
      <c r="B20" s="11"/>
      <c r="C20" s="12"/>
      <c r="D20" s="11"/>
      <c r="E20" s="12"/>
    </row>
    <row r="21" spans="1:8" ht="15.6">
      <c r="A21" s="3" t="s">
        <v>14</v>
      </c>
      <c r="B21" s="11"/>
      <c r="C21" s="12"/>
      <c r="D21" s="11"/>
      <c r="E21" s="12"/>
    </row>
    <row r="22" spans="1:8" ht="15.6">
      <c r="A22" s="9" t="s">
        <v>30</v>
      </c>
      <c r="B22" s="13">
        <v>878</v>
      </c>
      <c r="C22" s="23">
        <f t="shared" ref="C22:C46" si="2">B22/$B$19</f>
        <v>3.4786191704404535E-3</v>
      </c>
      <c r="D22" s="13">
        <v>372</v>
      </c>
      <c r="E22" s="23">
        <f t="shared" ref="E22" si="3">D22/$D$19</f>
        <v>1.5296241318766269E-3</v>
      </c>
      <c r="F22" s="64"/>
      <c r="H22" s="64"/>
    </row>
    <row r="23" spans="1:8" ht="15.6">
      <c r="A23" s="9" t="s">
        <v>31</v>
      </c>
      <c r="B23" s="13">
        <v>56812</v>
      </c>
      <c r="C23" s="23">
        <f t="shared" si="2"/>
        <v>0.22508805502398979</v>
      </c>
      <c r="D23" s="13">
        <v>53742</v>
      </c>
      <c r="E23" s="23">
        <f t="shared" ref="E23" si="4">D23/$D$19</f>
        <v>0.22098134434224107</v>
      </c>
    </row>
    <row r="24" spans="1:8" ht="15.6">
      <c r="A24" s="9" t="s">
        <v>32</v>
      </c>
      <c r="B24" s="13">
        <v>28759</v>
      </c>
      <c r="C24" s="23">
        <f t="shared" si="2"/>
        <v>0.11394260674566857</v>
      </c>
      <c r="D24" s="13">
        <v>31126</v>
      </c>
      <c r="E24" s="23">
        <f t="shared" ref="E24" si="5">D24/$D$19</f>
        <v>0.12798677615266635</v>
      </c>
    </row>
    <row r="25" spans="1:8" ht="15.6">
      <c r="A25" s="9" t="s">
        <v>33</v>
      </c>
      <c r="B25" s="13">
        <v>307</v>
      </c>
      <c r="C25" s="23">
        <f t="shared" si="2"/>
        <v>1.2163281154045776E-3</v>
      </c>
      <c r="D25" s="13">
        <v>727</v>
      </c>
      <c r="E25" s="23">
        <f t="shared" ref="E25" si="6">D25/$D$19</f>
        <v>2.9893460856836229E-3</v>
      </c>
    </row>
    <row r="26" spans="1:8" ht="15.6">
      <c r="A26" s="9" t="s">
        <v>34</v>
      </c>
      <c r="B26" s="13">
        <v>3447</v>
      </c>
      <c r="C26" s="23">
        <f t="shared" si="2"/>
        <v>1.3656947927685925E-2</v>
      </c>
      <c r="D26" s="13">
        <v>4191</v>
      </c>
      <c r="E26" s="23">
        <f t="shared" ref="E26" si="7">D26/$D$19</f>
        <v>1.7232942840577803E-2</v>
      </c>
    </row>
    <row r="27" spans="1:8" ht="15.6">
      <c r="A27" s="9" t="s">
        <v>35</v>
      </c>
      <c r="B27" s="13">
        <v>1487</v>
      </c>
      <c r="C27" s="23">
        <f t="shared" si="2"/>
        <v>5.891465497089925E-3</v>
      </c>
      <c r="D27" s="13">
        <v>1473</v>
      </c>
      <c r="E27" s="23">
        <f t="shared" ref="E27" si="8">D27/$D$19</f>
        <v>6.056818135092127E-3</v>
      </c>
    </row>
    <row r="28" spans="1:8" ht="15.6">
      <c r="A28" s="9" t="s">
        <v>36</v>
      </c>
      <c r="B28" s="13">
        <v>725</v>
      </c>
      <c r="C28" s="23">
        <f t="shared" si="2"/>
        <v>2.8724361031541332E-3</v>
      </c>
      <c r="D28" s="13">
        <v>567</v>
      </c>
      <c r="E28" s="23">
        <f t="shared" ref="E28" si="9">D28/$D$19</f>
        <v>2.3314432332635681E-3</v>
      </c>
    </row>
    <row r="29" spans="1:8" ht="15.6">
      <c r="A29" s="8" t="s">
        <v>15</v>
      </c>
      <c r="B29" s="14">
        <f>SUM(B22:B28)</f>
        <v>92415</v>
      </c>
      <c r="C29" s="25">
        <f>B29/$B$19</f>
        <v>0.36614645858343337</v>
      </c>
      <c r="D29" s="17">
        <f>SUM(D22:D28)</f>
        <v>92198</v>
      </c>
      <c r="E29" s="25">
        <f>D29/$D$19</f>
        <v>0.37910829492140119</v>
      </c>
    </row>
    <row r="30" spans="1:8" ht="15.6">
      <c r="A30" s="6"/>
      <c r="B30" s="11"/>
      <c r="C30" s="12"/>
      <c r="D30" s="11"/>
      <c r="E30" s="12"/>
    </row>
    <row r="31" spans="1:8" ht="15.6">
      <c r="A31" s="7" t="s">
        <v>16</v>
      </c>
      <c r="B31" s="13">
        <v>36132</v>
      </c>
      <c r="C31" s="23">
        <f t="shared" si="2"/>
        <v>0.14315429141953812</v>
      </c>
      <c r="D31" s="13">
        <v>34649</v>
      </c>
      <c r="E31" s="23">
        <f t="shared" ref="E31:E34" si="10">D31/$D$19</f>
        <v>0.14247297458439043</v>
      </c>
    </row>
    <row r="32" spans="1:8" ht="15.6">
      <c r="A32" s="7" t="s">
        <v>17</v>
      </c>
      <c r="B32" s="13">
        <v>12943</v>
      </c>
      <c r="C32" s="23">
        <f t="shared" si="2"/>
        <v>5.1279917907757162E-2</v>
      </c>
      <c r="D32" s="13">
        <v>12828</v>
      </c>
      <c r="E32" s="23">
        <f t="shared" si="10"/>
        <v>5.274736119277787E-2</v>
      </c>
    </row>
    <row r="33" spans="1:5" ht="15.6">
      <c r="A33" s="7" t="s">
        <v>18</v>
      </c>
      <c r="B33" s="13">
        <v>5709</v>
      </c>
      <c r="C33" s="23">
        <f t="shared" si="2"/>
        <v>2.2618948569526821E-2</v>
      </c>
      <c r="D33" s="13">
        <v>4843</v>
      </c>
      <c r="E33" s="23">
        <f t="shared" si="10"/>
        <v>1.9913896964189524E-2</v>
      </c>
    </row>
    <row r="34" spans="1:5" ht="15.6">
      <c r="A34" s="7" t="s">
        <v>19</v>
      </c>
      <c r="B34" s="13">
        <v>14629</v>
      </c>
      <c r="C34" s="23">
        <f t="shared" si="2"/>
        <v>5.7959817590402495E-2</v>
      </c>
      <c r="D34" s="13">
        <v>14688</v>
      </c>
      <c r="E34" s="23">
        <f t="shared" si="10"/>
        <v>6.0395481852161002E-2</v>
      </c>
    </row>
    <row r="35" spans="1:5" ht="15.6">
      <c r="A35" s="6"/>
      <c r="B35" s="13"/>
      <c r="C35" s="23"/>
      <c r="D35" s="13"/>
      <c r="E35" s="12"/>
    </row>
    <row r="36" spans="1:5" ht="15.6">
      <c r="A36" s="7" t="s">
        <v>20</v>
      </c>
      <c r="B36" s="13"/>
      <c r="C36" s="23"/>
      <c r="D36" s="13"/>
      <c r="E36" s="12"/>
    </row>
    <row r="37" spans="1:5" ht="15.6">
      <c r="A37" s="6"/>
      <c r="B37" s="13"/>
      <c r="C37" s="23"/>
      <c r="D37" s="13"/>
      <c r="E37" s="12"/>
    </row>
    <row r="38" spans="1:5" ht="15.6">
      <c r="A38" s="7" t="s">
        <v>21</v>
      </c>
      <c r="B38" s="13">
        <v>222</v>
      </c>
      <c r="C38" s="23">
        <f t="shared" si="2"/>
        <v>8.7955974468995524E-4</v>
      </c>
      <c r="D38" s="13">
        <v>237</v>
      </c>
      <c r="E38" s="23">
        <f t="shared" ref="E38" si="11">D38/$D$19</f>
        <v>9.7451860014720576E-4</v>
      </c>
    </row>
    <row r="39" spans="1:5" ht="15.6">
      <c r="A39" s="6"/>
      <c r="B39" s="13"/>
      <c r="C39" s="23"/>
      <c r="D39" s="13"/>
      <c r="E39" s="12"/>
    </row>
    <row r="40" spans="1:5" ht="15.6">
      <c r="A40" s="3" t="s">
        <v>22</v>
      </c>
      <c r="B40" s="13"/>
      <c r="C40" s="23"/>
      <c r="D40" s="13"/>
      <c r="E40" s="12"/>
    </row>
    <row r="41" spans="1:5" ht="15.6">
      <c r="A41" s="9" t="s">
        <v>37</v>
      </c>
      <c r="B41" s="13">
        <v>805</v>
      </c>
      <c r="C41" s="23">
        <f t="shared" si="2"/>
        <v>3.1893945697090719E-3</v>
      </c>
      <c r="D41" s="13">
        <v>808</v>
      </c>
      <c r="E41" s="23">
        <f t="shared" ref="E41:E48" si="12">D41/$D$19</f>
        <v>3.3224094047212753E-3</v>
      </c>
    </row>
    <row r="42" spans="1:5" ht="15.6">
      <c r="A42" s="9" t="s">
        <v>38</v>
      </c>
      <c r="B42" s="13">
        <v>4544</v>
      </c>
      <c r="C42" s="23">
        <f t="shared" si="2"/>
        <v>1.8003240900320523E-2</v>
      </c>
      <c r="D42" s="13">
        <v>4430</v>
      </c>
      <c r="E42" s="23">
        <f t="shared" si="12"/>
        <v>1.8215685226380261E-2</v>
      </c>
    </row>
    <row r="43" spans="1:5" ht="15.6">
      <c r="A43" s="9" t="s">
        <v>39</v>
      </c>
      <c r="B43" s="13">
        <v>89814</v>
      </c>
      <c r="C43" s="23">
        <f t="shared" si="2"/>
        <v>0.35584134643956594</v>
      </c>
      <c r="D43" s="13">
        <v>83135</v>
      </c>
      <c r="E43" s="23">
        <f t="shared" si="12"/>
        <v>0.34184221022463268</v>
      </c>
    </row>
    <row r="44" spans="1:5" ht="15.6">
      <c r="A44" s="9" t="s">
        <v>40</v>
      </c>
      <c r="B44" s="13">
        <v>-11302</v>
      </c>
      <c r="C44" s="23">
        <f t="shared" si="2"/>
        <v>-4.477830736254898E-2</v>
      </c>
      <c r="D44" s="13">
        <v>-11680</v>
      </c>
      <c r="E44" s="23">
        <f t="shared" si="12"/>
        <v>-4.8026908226663979E-2</v>
      </c>
    </row>
    <row r="45" spans="1:5" ht="15.6">
      <c r="A45" s="9" t="s">
        <v>41</v>
      </c>
      <c r="B45" s="22">
        <f>SUM(B41:B44)</f>
        <v>83861</v>
      </c>
      <c r="C45" s="26">
        <f t="shared" si="2"/>
        <v>0.33225567454704652</v>
      </c>
      <c r="D45" s="22">
        <f>SUM(D41:D44)</f>
        <v>76693</v>
      </c>
      <c r="E45" s="26">
        <f>D45/$D$19</f>
        <v>0.31535339662907025</v>
      </c>
    </row>
    <row r="46" spans="1:5" ht="15.6">
      <c r="A46" s="9" t="s">
        <v>42</v>
      </c>
      <c r="B46" s="13">
        <v>6488</v>
      </c>
      <c r="C46" s="23">
        <f t="shared" si="2"/>
        <v>2.5705331637605536E-2</v>
      </c>
      <c r="D46" s="13">
        <v>7061</v>
      </c>
      <c r="E46" s="23">
        <f>D46/$D$19</f>
        <v>2.9034075255862532E-2</v>
      </c>
    </row>
    <row r="47" spans="1:5" ht="15.6">
      <c r="A47" s="8" t="s">
        <v>23</v>
      </c>
      <c r="B47" s="14">
        <f>SUM(B45:B46)</f>
        <v>90349</v>
      </c>
      <c r="C47" s="25">
        <f>B47/$B$19</f>
        <v>0.3579610061846521</v>
      </c>
      <c r="D47" s="14">
        <f>SUM(D45:D46)</f>
        <v>83754</v>
      </c>
      <c r="E47" s="26">
        <f t="shared" si="12"/>
        <v>0.34438747188493279</v>
      </c>
    </row>
    <row r="48" spans="1:5" ht="15.6">
      <c r="A48" s="10" t="s">
        <v>24</v>
      </c>
      <c r="B48" s="14">
        <f>B29+B31+B32+B33+B34+B38+B47</f>
        <v>252399</v>
      </c>
      <c r="C48" s="25">
        <f>B48/$B$19</f>
        <v>1</v>
      </c>
      <c r="D48" s="14">
        <f>D29+D31+D32+D33+D34+D38+D47</f>
        <v>243197</v>
      </c>
      <c r="E48" s="25">
        <f t="shared" si="12"/>
        <v>1</v>
      </c>
    </row>
    <row r="49" spans="4:4">
      <c r="D49" s="64"/>
    </row>
  </sheetData>
  <mergeCells count="2">
    <mergeCell ref="B4:E4"/>
    <mergeCell ref="A2:H2"/>
  </mergeCells>
  <pageMargins left="0.7" right="0.7" top="0.75" bottom="0.75" header="0.3" footer="0.3"/>
  <ignoredErrors>
    <ignoredError sqref="C12 C29 C45 C47:C48 C1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D17-4AFA-4573-8C3D-B6638B4511AD}">
  <dimension ref="A1:I37"/>
  <sheetViews>
    <sheetView workbookViewId="0">
      <selection activeCell="H9" sqref="H9"/>
    </sheetView>
  </sheetViews>
  <sheetFormatPr defaultRowHeight="14.4"/>
  <cols>
    <col min="1" max="1" width="43.88671875" bestFit="1" customWidth="1"/>
    <col min="2" max="2" width="11.109375" bestFit="1" customWidth="1"/>
    <col min="3" max="4" width="16.21875" customWidth="1"/>
    <col min="5" max="5" width="12" bestFit="1" customWidth="1"/>
    <col min="6" max="6" width="12.88671875" bestFit="1" customWidth="1"/>
    <col min="7" max="7" width="12" bestFit="1" customWidth="1"/>
    <col min="8" max="8" width="12.88671875" bestFit="1" customWidth="1"/>
  </cols>
  <sheetData>
    <row r="1" spans="1:9">
      <c r="A1" s="1" t="s">
        <v>77</v>
      </c>
    </row>
    <row r="2" spans="1:9" ht="17.399999999999999">
      <c r="A2" s="117" t="s">
        <v>78</v>
      </c>
      <c r="B2" s="117"/>
      <c r="C2" s="117"/>
      <c r="D2" s="117"/>
      <c r="E2" s="117"/>
      <c r="F2" s="117"/>
      <c r="G2" s="117"/>
      <c r="H2" s="117"/>
      <c r="I2" s="117"/>
    </row>
    <row r="5" spans="1:9" ht="16.2">
      <c r="A5" s="56" t="s">
        <v>76</v>
      </c>
      <c r="B5" s="116" t="s">
        <v>47</v>
      </c>
      <c r="C5" s="116"/>
      <c r="D5" s="116"/>
      <c r="E5" s="116"/>
      <c r="F5" s="116"/>
      <c r="G5" s="116"/>
      <c r="H5" s="116"/>
    </row>
    <row r="6" spans="1:9" ht="15.6">
      <c r="A6" s="51"/>
      <c r="B6" s="52"/>
      <c r="C6" s="53"/>
      <c r="D6" s="53"/>
      <c r="E6" s="121" t="s">
        <v>80</v>
      </c>
      <c r="F6" s="122"/>
      <c r="G6" s="123" t="s">
        <v>81</v>
      </c>
      <c r="H6" s="122"/>
    </row>
    <row r="7" spans="1:9" ht="15.6">
      <c r="A7" s="2" t="s">
        <v>1</v>
      </c>
      <c r="B7" s="54">
        <v>2024</v>
      </c>
      <c r="C7" s="55">
        <v>2023</v>
      </c>
      <c r="D7" s="55">
        <v>2022</v>
      </c>
      <c r="E7" s="69" t="s">
        <v>79</v>
      </c>
      <c r="F7" s="70" t="s">
        <v>2</v>
      </c>
      <c r="G7" s="71" t="s">
        <v>79</v>
      </c>
      <c r="H7" s="70" t="s">
        <v>2</v>
      </c>
    </row>
    <row r="8" spans="1:9" ht="15.6">
      <c r="A8" s="33" t="s">
        <v>48</v>
      </c>
      <c r="E8" s="11"/>
      <c r="F8" s="12"/>
      <c r="H8" s="12"/>
    </row>
    <row r="9" spans="1:9" ht="15.6">
      <c r="A9" s="34" t="s">
        <v>49</v>
      </c>
      <c r="B9" s="13">
        <v>642637</v>
      </c>
      <c r="C9" s="58">
        <v>605881</v>
      </c>
      <c r="D9" s="58">
        <v>567762</v>
      </c>
      <c r="E9" s="63">
        <f>B9-C9</f>
        <v>36756</v>
      </c>
      <c r="F9" s="23">
        <f>E9/C9</f>
        <v>6.0665378184825071E-2</v>
      </c>
      <c r="G9" s="64">
        <f>C9-D9</f>
        <v>38119</v>
      </c>
      <c r="H9" s="23">
        <f>G9/D9</f>
        <v>6.7139047699564247E-2</v>
      </c>
    </row>
    <row r="10" spans="1:9" ht="15.6">
      <c r="A10" s="34" t="s">
        <v>50</v>
      </c>
      <c r="B10" s="13">
        <v>5488</v>
      </c>
      <c r="C10" s="58">
        <v>5408</v>
      </c>
      <c r="D10" s="58">
        <v>4992</v>
      </c>
      <c r="E10" s="63">
        <f t="shared" ref="E10:E27" si="0">B10-C10</f>
        <v>80</v>
      </c>
      <c r="F10" s="23">
        <f>E10/C10</f>
        <v>1.4792899408284023E-2</v>
      </c>
      <c r="G10" s="64">
        <f t="shared" ref="G10:G27" si="1">C10-D10</f>
        <v>416</v>
      </c>
      <c r="H10" s="23">
        <f t="shared" ref="H10:H27" si="2">G10/D10</f>
        <v>8.3333333333333329E-2</v>
      </c>
    </row>
    <row r="11" spans="1:9" ht="15.6">
      <c r="A11" s="35" t="s">
        <v>51</v>
      </c>
      <c r="B11" s="22">
        <f>SUM(B9:B10)</f>
        <v>648125</v>
      </c>
      <c r="C11" s="60">
        <f>SUM(C9:C10)</f>
        <v>611289</v>
      </c>
      <c r="D11" s="60">
        <f>SUM(D9:D10)</f>
        <v>572754</v>
      </c>
      <c r="E11" s="65">
        <f t="shared" si="0"/>
        <v>36836</v>
      </c>
      <c r="F11" s="26">
        <f>E11/C11</f>
        <v>6.0259549901928548E-2</v>
      </c>
      <c r="G11" s="66">
        <f t="shared" si="1"/>
        <v>38535</v>
      </c>
      <c r="H11" s="26">
        <f t="shared" si="2"/>
        <v>6.7280193590965751E-2</v>
      </c>
    </row>
    <row r="12" spans="1:9" ht="15.6">
      <c r="A12" s="33" t="s">
        <v>52</v>
      </c>
      <c r="B12" s="11"/>
      <c r="C12" s="58"/>
      <c r="D12" s="58"/>
      <c r="E12" s="11"/>
      <c r="F12" s="12"/>
      <c r="G12" s="64"/>
      <c r="H12" s="23"/>
    </row>
    <row r="13" spans="1:9" ht="15.6">
      <c r="A13" s="34" t="s">
        <v>53</v>
      </c>
      <c r="B13" s="13">
        <v>490142</v>
      </c>
      <c r="C13" s="58">
        <v>463721</v>
      </c>
      <c r="D13" s="58">
        <v>429000</v>
      </c>
      <c r="E13" s="63">
        <f t="shared" si="0"/>
        <v>26421</v>
      </c>
      <c r="F13" s="23">
        <f t="shared" ref="F13:F26" si="3">E13/C13</f>
        <v>5.6976069662577282E-2</v>
      </c>
      <c r="G13" s="64">
        <f t="shared" si="1"/>
        <v>34721</v>
      </c>
      <c r="H13" s="23">
        <f t="shared" si="2"/>
        <v>8.093473193473194E-2</v>
      </c>
    </row>
    <row r="14" spans="1:9" ht="31.2">
      <c r="A14" s="34" t="s">
        <v>54</v>
      </c>
      <c r="B14" s="13">
        <v>130971</v>
      </c>
      <c r="C14" s="58">
        <v>127140</v>
      </c>
      <c r="D14" s="58">
        <v>117812</v>
      </c>
      <c r="E14" s="63">
        <f t="shared" si="0"/>
        <v>3831</v>
      </c>
      <c r="F14" s="23">
        <f t="shared" si="3"/>
        <v>3.0132137800849456E-2</v>
      </c>
      <c r="G14" s="64">
        <f t="shared" si="1"/>
        <v>9328</v>
      </c>
      <c r="H14" s="23">
        <f t="shared" si="2"/>
        <v>7.9176993854615824E-2</v>
      </c>
    </row>
    <row r="15" spans="1:9" ht="15.6">
      <c r="A15" s="33" t="s">
        <v>55</v>
      </c>
      <c r="B15" s="22">
        <f>B11-B13-B14</f>
        <v>27012</v>
      </c>
      <c r="C15" s="60">
        <f>C11-C13-C14</f>
        <v>20428</v>
      </c>
      <c r="D15" s="60">
        <f>D11-D13-D14</f>
        <v>25942</v>
      </c>
      <c r="E15" s="65">
        <f t="shared" si="0"/>
        <v>6584</v>
      </c>
      <c r="F15" s="26">
        <f t="shared" si="3"/>
        <v>0.32230272175445468</v>
      </c>
      <c r="G15" s="66">
        <f t="shared" si="1"/>
        <v>-5514</v>
      </c>
      <c r="H15" s="26">
        <f t="shared" si="2"/>
        <v>-0.21255107547606197</v>
      </c>
    </row>
    <row r="16" spans="1:9" ht="15.6">
      <c r="A16" s="33" t="s">
        <v>56</v>
      </c>
      <c r="B16" s="13"/>
      <c r="C16" s="58"/>
      <c r="D16" s="58"/>
      <c r="E16" s="11"/>
      <c r="F16" s="23"/>
      <c r="G16" s="64"/>
      <c r="H16" s="23"/>
    </row>
    <row r="17" spans="1:8" ht="15.6">
      <c r="A17" s="34" t="s">
        <v>57</v>
      </c>
      <c r="B17" s="13">
        <v>2259</v>
      </c>
      <c r="C17" s="58">
        <v>1787</v>
      </c>
      <c r="D17" s="58">
        <v>1674</v>
      </c>
      <c r="E17" s="63">
        <f t="shared" si="0"/>
        <v>472</v>
      </c>
      <c r="F17" s="23">
        <f t="shared" si="3"/>
        <v>0.26412982652490208</v>
      </c>
      <c r="G17" s="64">
        <f t="shared" si="1"/>
        <v>113</v>
      </c>
      <c r="H17" s="23">
        <f t="shared" si="2"/>
        <v>6.7502986857825562E-2</v>
      </c>
    </row>
    <row r="18" spans="1:8" ht="15.6">
      <c r="A18" s="34" t="s">
        <v>58</v>
      </c>
      <c r="B18" s="13">
        <v>424</v>
      </c>
      <c r="C18" s="58">
        <v>341</v>
      </c>
      <c r="D18" s="58">
        <v>320</v>
      </c>
      <c r="E18" s="63">
        <f t="shared" si="0"/>
        <v>83</v>
      </c>
      <c r="F18" s="23">
        <f t="shared" si="3"/>
        <v>0.24340175953079179</v>
      </c>
      <c r="G18" s="64">
        <f t="shared" si="1"/>
        <v>21</v>
      </c>
      <c r="H18" s="23">
        <f t="shared" si="2"/>
        <v>6.5625000000000003E-2</v>
      </c>
    </row>
    <row r="19" spans="1:8" ht="15.6">
      <c r="A19" s="34" t="s">
        <v>59</v>
      </c>
      <c r="B19" s="13">
        <v>-546</v>
      </c>
      <c r="C19" s="58">
        <v>-254</v>
      </c>
      <c r="D19" s="58">
        <v>-158</v>
      </c>
      <c r="E19" s="63">
        <f t="shared" si="0"/>
        <v>-292</v>
      </c>
      <c r="F19" s="23">
        <f t="shared" si="3"/>
        <v>1.1496062992125984</v>
      </c>
      <c r="G19" s="64">
        <f t="shared" si="1"/>
        <v>-96</v>
      </c>
      <c r="H19" s="23">
        <f t="shared" si="2"/>
        <v>0.60759493670886078</v>
      </c>
    </row>
    <row r="20" spans="1:8" ht="15.6">
      <c r="A20" s="35" t="s">
        <v>60</v>
      </c>
      <c r="B20" s="22">
        <f>SUM(B17:B19)</f>
        <v>2137</v>
      </c>
      <c r="C20" s="60">
        <f>SUM(C17:C19)</f>
        <v>1874</v>
      </c>
      <c r="D20" s="60">
        <f>SUM(D17:D19)</f>
        <v>1836</v>
      </c>
      <c r="E20" s="65">
        <f t="shared" si="0"/>
        <v>263</v>
      </c>
      <c r="F20" s="26">
        <f t="shared" si="3"/>
        <v>0.14034151547491996</v>
      </c>
      <c r="G20" s="66">
        <f t="shared" si="1"/>
        <v>38</v>
      </c>
      <c r="H20" s="26">
        <f t="shared" si="2"/>
        <v>2.0697167755991286E-2</v>
      </c>
    </row>
    <row r="21" spans="1:8" ht="15.6">
      <c r="A21" s="36" t="s">
        <v>61</v>
      </c>
      <c r="B21" s="44">
        <v>0</v>
      </c>
      <c r="C21" s="59">
        <v>0</v>
      </c>
      <c r="D21" s="59">
        <v>2410</v>
      </c>
      <c r="E21" s="63">
        <f t="shared" si="0"/>
        <v>0</v>
      </c>
      <c r="F21" s="23"/>
      <c r="G21" s="64">
        <f t="shared" si="1"/>
        <v>-2410</v>
      </c>
      <c r="H21" s="23">
        <f t="shared" si="2"/>
        <v>-1</v>
      </c>
    </row>
    <row r="22" spans="1:8" ht="15.6">
      <c r="A22" s="36" t="s">
        <v>62</v>
      </c>
      <c r="B22" s="13">
        <v>3027</v>
      </c>
      <c r="C22" s="58">
        <v>1538</v>
      </c>
      <c r="D22" s="58">
        <v>3000</v>
      </c>
      <c r="E22" s="63">
        <f t="shared" si="0"/>
        <v>1489</v>
      </c>
      <c r="F22" s="23">
        <f t="shared" si="3"/>
        <v>0.96814044213263983</v>
      </c>
      <c r="G22" s="64">
        <f t="shared" si="1"/>
        <v>-1462</v>
      </c>
      <c r="H22" s="23">
        <f t="shared" si="2"/>
        <v>-0.48733333333333334</v>
      </c>
    </row>
    <row r="23" spans="1:8" ht="15.6">
      <c r="A23" s="33" t="s">
        <v>63</v>
      </c>
      <c r="B23" s="22">
        <f>B15-B20-B22</f>
        <v>21848</v>
      </c>
      <c r="C23" s="60">
        <f>C15-C20-C22</f>
        <v>17016</v>
      </c>
      <c r="D23" s="60">
        <f>D15-D20-D22-D21</f>
        <v>18696</v>
      </c>
      <c r="E23" s="65">
        <f t="shared" si="0"/>
        <v>4832</v>
      </c>
      <c r="F23" s="26">
        <f t="shared" si="3"/>
        <v>0.28396803008932769</v>
      </c>
      <c r="G23" s="66">
        <f t="shared" si="1"/>
        <v>-1680</v>
      </c>
      <c r="H23" s="26">
        <f t="shared" si="2"/>
        <v>-8.9858793324775352E-2</v>
      </c>
    </row>
    <row r="24" spans="1:8" ht="15.6">
      <c r="A24" s="36" t="s">
        <v>64</v>
      </c>
      <c r="B24" s="45">
        <v>5578</v>
      </c>
      <c r="C24" s="58">
        <v>5724</v>
      </c>
      <c r="D24" s="58">
        <v>4756</v>
      </c>
      <c r="E24" s="63">
        <f t="shared" si="0"/>
        <v>-146</v>
      </c>
      <c r="F24" s="23">
        <f t="shared" si="3"/>
        <v>-2.5506638714185886E-2</v>
      </c>
      <c r="G24" s="64">
        <f t="shared" si="1"/>
        <v>968</v>
      </c>
      <c r="H24" s="23">
        <f t="shared" si="2"/>
        <v>0.20353238015138772</v>
      </c>
    </row>
    <row r="25" spans="1:8" ht="15.6">
      <c r="A25" s="33" t="s">
        <v>65</v>
      </c>
      <c r="B25" s="13">
        <f>B23-B24</f>
        <v>16270</v>
      </c>
      <c r="C25" s="60">
        <f>C23-C24</f>
        <v>11292</v>
      </c>
      <c r="D25" s="60">
        <f>D23-D24</f>
        <v>13940</v>
      </c>
      <c r="E25" s="65">
        <f t="shared" si="0"/>
        <v>4978</v>
      </c>
      <c r="F25" s="26">
        <f t="shared" si="3"/>
        <v>0.44084307474318102</v>
      </c>
      <c r="G25" s="66">
        <f t="shared" si="1"/>
        <v>-2648</v>
      </c>
      <c r="H25" s="26">
        <f t="shared" si="2"/>
        <v>-0.18995695839311336</v>
      </c>
    </row>
    <row r="26" spans="1:8" ht="31.2">
      <c r="A26" s="36" t="s">
        <v>66</v>
      </c>
      <c r="B26" s="13">
        <v>-759</v>
      </c>
      <c r="C26" s="47">
        <v>388</v>
      </c>
      <c r="D26" s="47">
        <v>-267</v>
      </c>
      <c r="E26" s="63">
        <f t="shared" si="0"/>
        <v>-1147</v>
      </c>
      <c r="F26" s="23">
        <f t="shared" si="3"/>
        <v>-2.9561855670103094</v>
      </c>
      <c r="G26" s="64">
        <f t="shared" si="1"/>
        <v>655</v>
      </c>
      <c r="H26" s="23">
        <f t="shared" si="2"/>
        <v>-2.4531835205992509</v>
      </c>
    </row>
    <row r="27" spans="1:8" ht="31.2">
      <c r="A27" s="33" t="s">
        <v>67</v>
      </c>
      <c r="B27" s="14">
        <f>SUM(B25:B26)</f>
        <v>15511</v>
      </c>
      <c r="C27" s="58">
        <f>SUM(C25:C26)</f>
        <v>11680</v>
      </c>
      <c r="D27" s="58">
        <f>SUM(D25:D26)</f>
        <v>13673</v>
      </c>
      <c r="E27" s="67">
        <f t="shared" si="0"/>
        <v>3831</v>
      </c>
      <c r="F27" s="25">
        <f>E27/C27</f>
        <v>0.32799657534246573</v>
      </c>
      <c r="G27" s="68">
        <f t="shared" si="1"/>
        <v>-1993</v>
      </c>
      <c r="H27" s="25">
        <f t="shared" si="2"/>
        <v>-0.14576172017845387</v>
      </c>
    </row>
    <row r="28" spans="1:8" ht="15.6">
      <c r="A28" s="37"/>
      <c r="B28" s="13"/>
      <c r="C28" s="60"/>
      <c r="D28" s="60"/>
      <c r="E28" s="11"/>
      <c r="F28" s="12"/>
      <c r="H28" s="12"/>
    </row>
    <row r="29" spans="1:8" ht="15.6">
      <c r="A29" s="33" t="s">
        <v>68</v>
      </c>
      <c r="B29" s="13"/>
      <c r="C29" s="58"/>
      <c r="D29" s="58"/>
      <c r="E29" s="11"/>
      <c r="F29" s="12"/>
      <c r="H29" s="12"/>
    </row>
    <row r="30" spans="1:8" ht="31.2">
      <c r="A30" s="34" t="s">
        <v>69</v>
      </c>
      <c r="B30" s="13">
        <v>1.92</v>
      </c>
      <c r="C30" s="58">
        <v>1.43</v>
      </c>
      <c r="D30" s="58">
        <v>1.63</v>
      </c>
      <c r="E30" s="11"/>
      <c r="F30" s="12"/>
      <c r="H30" s="12"/>
    </row>
    <row r="31" spans="1:8" ht="31.2">
      <c r="A31" s="34" t="s">
        <v>70</v>
      </c>
      <c r="B31" s="13">
        <v>1.91</v>
      </c>
      <c r="C31" s="58">
        <v>1.42</v>
      </c>
      <c r="D31" s="58">
        <v>1.62</v>
      </c>
      <c r="E31" s="11"/>
      <c r="F31" s="12"/>
      <c r="H31" s="12"/>
    </row>
    <row r="32" spans="1:8" ht="15.6">
      <c r="A32" s="37"/>
      <c r="B32" s="13"/>
      <c r="C32" s="58"/>
      <c r="D32" s="58"/>
      <c r="E32" s="11"/>
      <c r="F32" s="12"/>
      <c r="H32" s="12"/>
    </row>
    <row r="33" spans="1:8" ht="31.2">
      <c r="A33" s="33" t="s">
        <v>71</v>
      </c>
      <c r="B33" s="13"/>
      <c r="C33" s="58"/>
      <c r="D33" s="58"/>
      <c r="E33" s="11"/>
      <c r="F33" s="12"/>
      <c r="H33" s="12"/>
    </row>
    <row r="34" spans="1:8" ht="15.6">
      <c r="A34" s="34" t="s">
        <v>72</v>
      </c>
      <c r="B34" s="13">
        <v>8077</v>
      </c>
      <c r="C34" s="58">
        <v>8171</v>
      </c>
      <c r="D34" s="58">
        <v>8376</v>
      </c>
      <c r="E34" s="11"/>
      <c r="F34" s="12"/>
      <c r="H34" s="12"/>
    </row>
    <row r="35" spans="1:8" ht="15.6">
      <c r="A35" s="34" t="s">
        <v>73</v>
      </c>
      <c r="B35" s="13">
        <v>8108</v>
      </c>
      <c r="C35" s="58">
        <v>8202</v>
      </c>
      <c r="D35" s="58">
        <v>8415</v>
      </c>
      <c r="E35" s="11"/>
      <c r="F35" s="12"/>
      <c r="H35" s="12"/>
    </row>
    <row r="36" spans="1:8" ht="15.6">
      <c r="A36" s="37"/>
      <c r="B36" s="13"/>
      <c r="C36" s="58"/>
      <c r="D36" s="58"/>
      <c r="E36" s="11"/>
      <c r="F36" s="12"/>
      <c r="H36" s="12"/>
    </row>
    <row r="37" spans="1:8" ht="15.6">
      <c r="A37" s="57" t="s">
        <v>74</v>
      </c>
      <c r="B37" s="61">
        <v>0.76</v>
      </c>
      <c r="C37" s="62">
        <v>0.74670000000000003</v>
      </c>
      <c r="D37" s="62">
        <v>0.73329999999999995</v>
      </c>
      <c r="E37" s="46"/>
      <c r="F37" s="19"/>
      <c r="G37" s="16"/>
      <c r="H37" s="19"/>
    </row>
  </sheetData>
  <mergeCells count="4">
    <mergeCell ref="A2:I2"/>
    <mergeCell ref="E6:F6"/>
    <mergeCell ref="G6:H6"/>
    <mergeCell ref="B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5B60-894E-4C92-93F8-BE5430DDCAA8}">
  <dimension ref="A1:L47"/>
  <sheetViews>
    <sheetView zoomScale="104" workbookViewId="0">
      <selection activeCell="E8" sqref="E8"/>
    </sheetView>
  </sheetViews>
  <sheetFormatPr defaultRowHeight="14.4"/>
  <cols>
    <col min="1" max="1" width="52.44140625" customWidth="1"/>
    <col min="2" max="3" width="12.33203125" bestFit="1" customWidth="1"/>
    <col min="4" max="4" width="15.77734375" bestFit="1" customWidth="1"/>
    <col min="5" max="5" width="16.109375" bestFit="1" customWidth="1"/>
    <col min="7" max="7" width="11.21875" bestFit="1" customWidth="1"/>
  </cols>
  <sheetData>
    <row r="1" spans="1:12">
      <c r="A1" s="1" t="s">
        <v>77</v>
      </c>
    </row>
    <row r="2" spans="1:12" ht="17.399999999999999">
      <c r="A2" s="117" t="s">
        <v>78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2">
      <c r="A3" s="2" t="s">
        <v>4</v>
      </c>
      <c r="B3" s="120" t="s">
        <v>3</v>
      </c>
      <c r="C3" s="120"/>
      <c r="D3" s="120"/>
      <c r="E3" s="120"/>
    </row>
    <row r="4" spans="1:12" ht="15.6">
      <c r="A4" s="2" t="s">
        <v>1</v>
      </c>
      <c r="B4" s="72">
        <v>2024</v>
      </c>
      <c r="C4" s="78">
        <v>2023</v>
      </c>
      <c r="D4" s="73" t="s">
        <v>82</v>
      </c>
      <c r="E4" s="74" t="s">
        <v>83</v>
      </c>
    </row>
    <row r="5" spans="1:12" ht="15.6">
      <c r="A5" s="3" t="s">
        <v>5</v>
      </c>
      <c r="B5" s="11"/>
      <c r="C5" s="21"/>
      <c r="E5" s="21"/>
    </row>
    <row r="6" spans="1:12" ht="15.6">
      <c r="A6" s="3" t="s">
        <v>6</v>
      </c>
      <c r="B6" s="11"/>
      <c r="C6" s="12"/>
      <c r="E6" s="12"/>
    </row>
    <row r="7" spans="1:12" ht="15.6">
      <c r="A7" s="4" t="s">
        <v>25</v>
      </c>
      <c r="B7" s="13">
        <v>9867</v>
      </c>
      <c r="C7" s="79">
        <v>8625</v>
      </c>
      <c r="D7" s="64">
        <f>B7-C7</f>
        <v>1242</v>
      </c>
      <c r="E7" s="23">
        <f>D7/C7</f>
        <v>0.14399999999999999</v>
      </c>
    </row>
    <row r="8" spans="1:12" ht="15.6">
      <c r="A8" s="4" t="s">
        <v>26</v>
      </c>
      <c r="B8" s="13">
        <v>8796</v>
      </c>
      <c r="C8" s="79">
        <v>7933</v>
      </c>
      <c r="D8" s="64">
        <f t="shared" ref="D8:D47" si="0">B8-C8</f>
        <v>863</v>
      </c>
      <c r="E8" s="23">
        <f t="shared" ref="E8:E18" si="1">D8/C8</f>
        <v>0.10878608344888441</v>
      </c>
    </row>
    <row r="9" spans="1:12" ht="15.6">
      <c r="A9" s="4" t="s">
        <v>27</v>
      </c>
      <c r="B9" s="13">
        <v>54892</v>
      </c>
      <c r="C9" s="79">
        <v>56576</v>
      </c>
      <c r="D9" s="64">
        <f t="shared" si="0"/>
        <v>-1684</v>
      </c>
      <c r="E9" s="23">
        <f t="shared" si="1"/>
        <v>-2.9765271493212668E-2</v>
      </c>
    </row>
    <row r="10" spans="1:12" ht="15.6">
      <c r="A10" s="4" t="s">
        <v>28</v>
      </c>
      <c r="B10" s="13">
        <v>3322</v>
      </c>
      <c r="C10" s="79">
        <v>2521</v>
      </c>
      <c r="D10" s="64">
        <f t="shared" si="0"/>
        <v>801</v>
      </c>
      <c r="E10" s="23">
        <f t="shared" si="1"/>
        <v>0.31773105910353033</v>
      </c>
    </row>
    <row r="11" spans="1:12" ht="15.6">
      <c r="A11" s="5" t="s">
        <v>29</v>
      </c>
      <c r="B11" s="22">
        <f>SUM(B7:B10)</f>
        <v>76877</v>
      </c>
      <c r="C11" s="80">
        <f>SUM(C7:C10)</f>
        <v>75655</v>
      </c>
      <c r="D11" s="65">
        <f t="shared" si="0"/>
        <v>1222</v>
      </c>
      <c r="E11" s="26">
        <f t="shared" si="1"/>
        <v>1.6152270173815347E-2</v>
      </c>
    </row>
    <row r="12" spans="1:12" ht="15.6">
      <c r="A12" s="6"/>
      <c r="B12" s="13"/>
      <c r="C12" s="79"/>
      <c r="D12" s="64"/>
      <c r="E12" s="12"/>
    </row>
    <row r="13" spans="1:12" ht="15.6">
      <c r="A13" s="7" t="s">
        <v>7</v>
      </c>
      <c r="B13" s="13">
        <v>110810</v>
      </c>
      <c r="C13" s="79">
        <v>100760</v>
      </c>
      <c r="D13" s="64">
        <f t="shared" si="0"/>
        <v>10050</v>
      </c>
      <c r="E13" s="23">
        <f t="shared" si="1"/>
        <v>9.974196109567289E-2</v>
      </c>
    </row>
    <row r="14" spans="1:12" ht="15.6">
      <c r="A14" s="7" t="s">
        <v>8</v>
      </c>
      <c r="B14" s="13">
        <v>13673</v>
      </c>
      <c r="C14" s="79">
        <v>13555</v>
      </c>
      <c r="D14" s="64">
        <f t="shared" si="0"/>
        <v>118</v>
      </c>
      <c r="E14" s="23">
        <f t="shared" si="1"/>
        <v>8.7052748063445231E-3</v>
      </c>
    </row>
    <row r="15" spans="1:12" ht="15.6">
      <c r="A15" s="7" t="s">
        <v>9</v>
      </c>
      <c r="B15" s="13">
        <v>5855</v>
      </c>
      <c r="C15" s="79">
        <v>4919</v>
      </c>
      <c r="D15" s="64">
        <f t="shared" si="0"/>
        <v>936</v>
      </c>
      <c r="E15" s="23">
        <f t="shared" si="1"/>
        <v>0.19028257775970725</v>
      </c>
    </row>
    <row r="16" spans="1:12" ht="15.6">
      <c r="A16" s="7" t="s">
        <v>10</v>
      </c>
      <c r="B16" s="13">
        <v>28113</v>
      </c>
      <c r="C16" s="79">
        <v>28174</v>
      </c>
      <c r="D16" s="64">
        <f t="shared" si="0"/>
        <v>-61</v>
      </c>
      <c r="E16" s="23">
        <f t="shared" si="1"/>
        <v>-2.1651167743309435E-3</v>
      </c>
    </row>
    <row r="17" spans="1:7" ht="15.6">
      <c r="A17" s="7" t="s">
        <v>11</v>
      </c>
      <c r="B17" s="13">
        <v>17071</v>
      </c>
      <c r="C17" s="79">
        <v>20134</v>
      </c>
      <c r="D17" s="64">
        <f t="shared" si="0"/>
        <v>-3063</v>
      </c>
      <c r="E17" s="23">
        <f t="shared" si="1"/>
        <v>-0.15213072414820702</v>
      </c>
    </row>
    <row r="18" spans="1:7" ht="15.6">
      <c r="A18" s="8" t="s">
        <v>12</v>
      </c>
      <c r="B18" s="14">
        <f>SUM(B11:B17)</f>
        <v>252399</v>
      </c>
      <c r="C18" s="15">
        <f>SUM(C11:C17)</f>
        <v>243197</v>
      </c>
      <c r="D18" s="67">
        <f t="shared" si="0"/>
        <v>9202</v>
      </c>
      <c r="E18" s="25">
        <f t="shared" si="1"/>
        <v>3.7837637799808387E-2</v>
      </c>
    </row>
    <row r="19" spans="1:7" ht="31.2">
      <c r="A19" s="75" t="s">
        <v>13</v>
      </c>
      <c r="B19" s="11"/>
      <c r="C19" s="12"/>
      <c r="D19" s="64"/>
      <c r="E19" s="12"/>
    </row>
    <row r="20" spans="1:7" ht="15.6">
      <c r="A20" s="3" t="s">
        <v>14</v>
      </c>
      <c r="B20" s="11"/>
      <c r="C20" s="12"/>
      <c r="D20" s="64"/>
      <c r="E20" s="12"/>
    </row>
    <row r="21" spans="1:7" ht="15.6">
      <c r="A21" s="9" t="s">
        <v>30</v>
      </c>
      <c r="B21" s="13">
        <v>878</v>
      </c>
      <c r="C21" s="79">
        <v>372</v>
      </c>
      <c r="D21" s="64">
        <f t="shared" si="0"/>
        <v>506</v>
      </c>
      <c r="E21" s="23">
        <f t="shared" ref="E21:E33" si="2">D21/C21</f>
        <v>1.3602150537634408</v>
      </c>
      <c r="G21" s="64"/>
    </row>
    <row r="22" spans="1:7" ht="15.6">
      <c r="A22" s="9" t="s">
        <v>31</v>
      </c>
      <c r="B22" s="13">
        <v>56812</v>
      </c>
      <c r="C22" s="79">
        <v>53742</v>
      </c>
      <c r="D22" s="64">
        <f t="shared" si="0"/>
        <v>3070</v>
      </c>
      <c r="E22" s="23">
        <f t="shared" si="2"/>
        <v>5.7124781362807485E-2</v>
      </c>
    </row>
    <row r="23" spans="1:7" ht="15.6">
      <c r="A23" s="9" t="s">
        <v>32</v>
      </c>
      <c r="B23" s="13">
        <v>28759</v>
      </c>
      <c r="C23" s="79">
        <v>31126</v>
      </c>
      <c r="D23" s="64">
        <f t="shared" si="0"/>
        <v>-2367</v>
      </c>
      <c r="E23" s="23">
        <f t="shared" si="2"/>
        <v>-7.6045749534151511E-2</v>
      </c>
    </row>
    <row r="24" spans="1:7" ht="15.6">
      <c r="A24" s="9" t="s">
        <v>33</v>
      </c>
      <c r="B24" s="13">
        <v>307</v>
      </c>
      <c r="C24" s="79">
        <v>727</v>
      </c>
      <c r="D24" s="64">
        <f t="shared" si="0"/>
        <v>-420</v>
      </c>
      <c r="E24" s="23">
        <f t="shared" si="2"/>
        <v>-0.57771664374140308</v>
      </c>
    </row>
    <row r="25" spans="1:7" ht="15.6">
      <c r="A25" s="9" t="s">
        <v>34</v>
      </c>
      <c r="B25" s="13">
        <v>3447</v>
      </c>
      <c r="C25" s="79">
        <v>4191</v>
      </c>
      <c r="D25" s="64">
        <f t="shared" si="0"/>
        <v>-744</v>
      </c>
      <c r="E25" s="23">
        <f t="shared" si="2"/>
        <v>-0.17752326413743735</v>
      </c>
    </row>
    <row r="26" spans="1:7" ht="15.6">
      <c r="A26" s="9" t="s">
        <v>35</v>
      </c>
      <c r="B26" s="13">
        <v>1487</v>
      </c>
      <c r="C26" s="79">
        <v>1473</v>
      </c>
      <c r="D26" s="64">
        <f t="shared" si="0"/>
        <v>14</v>
      </c>
      <c r="E26" s="23">
        <f t="shared" si="2"/>
        <v>9.5044127630685669E-3</v>
      </c>
    </row>
    <row r="27" spans="1:7" ht="15.6">
      <c r="A27" s="9" t="s">
        <v>36</v>
      </c>
      <c r="B27" s="13">
        <v>725</v>
      </c>
      <c r="C27" s="79">
        <v>567</v>
      </c>
      <c r="D27" s="64">
        <f t="shared" si="0"/>
        <v>158</v>
      </c>
      <c r="E27" s="23">
        <f t="shared" si="2"/>
        <v>0.27865961199294531</v>
      </c>
    </row>
    <row r="28" spans="1:7" ht="15.6">
      <c r="A28" s="8" t="s">
        <v>15</v>
      </c>
      <c r="B28" s="14">
        <f>SUM(B21:B27)</f>
        <v>92415</v>
      </c>
      <c r="C28" s="15">
        <f>SUM(C21:C27)</f>
        <v>92198</v>
      </c>
      <c r="D28" s="67">
        <f t="shared" si="0"/>
        <v>217</v>
      </c>
      <c r="E28" s="25">
        <f t="shared" si="2"/>
        <v>2.3536302305906852E-3</v>
      </c>
    </row>
    <row r="29" spans="1:7" ht="15.6">
      <c r="A29" s="6"/>
      <c r="B29" s="11"/>
      <c r="C29" s="12"/>
      <c r="D29" s="64"/>
      <c r="E29" s="12"/>
    </row>
    <row r="30" spans="1:7" ht="15.6">
      <c r="A30" s="7" t="s">
        <v>16</v>
      </c>
      <c r="B30" s="13">
        <v>36132</v>
      </c>
      <c r="C30" s="79">
        <v>34649</v>
      </c>
      <c r="D30" s="64">
        <f t="shared" si="0"/>
        <v>1483</v>
      </c>
      <c r="E30" s="23">
        <f t="shared" si="2"/>
        <v>4.2800658027648708E-2</v>
      </c>
    </row>
    <row r="31" spans="1:7" ht="15.6">
      <c r="A31" s="7" t="s">
        <v>17</v>
      </c>
      <c r="B31" s="13">
        <v>12943</v>
      </c>
      <c r="C31" s="79">
        <v>12828</v>
      </c>
      <c r="D31" s="64">
        <f t="shared" si="0"/>
        <v>115</v>
      </c>
      <c r="E31" s="23">
        <f t="shared" si="2"/>
        <v>8.9647645774867477E-3</v>
      </c>
    </row>
    <row r="32" spans="1:7" ht="15.6">
      <c r="A32" s="7" t="s">
        <v>18</v>
      </c>
      <c r="B32" s="13">
        <v>5709</v>
      </c>
      <c r="C32" s="79">
        <v>4843</v>
      </c>
      <c r="D32" s="64">
        <f t="shared" si="0"/>
        <v>866</v>
      </c>
      <c r="E32" s="23">
        <f t="shared" si="2"/>
        <v>0.17881478422465413</v>
      </c>
    </row>
    <row r="33" spans="1:5" ht="15.6">
      <c r="A33" s="7" t="s">
        <v>19</v>
      </c>
      <c r="B33" s="13">
        <v>14629</v>
      </c>
      <c r="C33" s="79">
        <v>14688</v>
      </c>
      <c r="D33" s="64">
        <f t="shared" si="0"/>
        <v>-59</v>
      </c>
      <c r="E33" s="23">
        <f t="shared" si="2"/>
        <v>-4.0168845315904141E-3</v>
      </c>
    </row>
    <row r="34" spans="1:5" ht="15.6">
      <c r="A34" s="6"/>
      <c r="B34" s="13"/>
      <c r="C34" s="79"/>
      <c r="D34" s="64"/>
      <c r="E34" s="12"/>
    </row>
    <row r="35" spans="1:5" ht="15.6">
      <c r="A35" s="7" t="s">
        <v>20</v>
      </c>
      <c r="B35" s="13"/>
      <c r="C35" s="79"/>
      <c r="D35" s="64"/>
      <c r="E35" s="12"/>
    </row>
    <row r="36" spans="1:5" ht="15.6">
      <c r="A36" s="6"/>
      <c r="B36" s="13"/>
      <c r="C36" s="79"/>
      <c r="D36" s="64"/>
      <c r="E36" s="12"/>
    </row>
    <row r="37" spans="1:5" ht="15.6">
      <c r="A37" s="7" t="s">
        <v>21</v>
      </c>
      <c r="B37" s="13">
        <v>222</v>
      </c>
      <c r="C37" s="79">
        <v>237</v>
      </c>
      <c r="D37" s="64">
        <f t="shared" si="0"/>
        <v>-15</v>
      </c>
      <c r="E37" s="23"/>
    </row>
    <row r="38" spans="1:5" ht="15.6">
      <c r="A38" s="6"/>
      <c r="B38" s="13"/>
      <c r="C38" s="79"/>
      <c r="D38" s="64"/>
      <c r="E38" s="12"/>
    </row>
    <row r="39" spans="1:5" ht="15.6">
      <c r="A39" s="3" t="s">
        <v>22</v>
      </c>
      <c r="B39" s="13"/>
      <c r="C39" s="79"/>
      <c r="D39" s="64"/>
      <c r="E39" s="12"/>
    </row>
    <row r="40" spans="1:5" ht="15.6">
      <c r="A40" s="9" t="s">
        <v>37</v>
      </c>
      <c r="B40" s="13">
        <v>805</v>
      </c>
      <c r="C40" s="79">
        <v>808</v>
      </c>
      <c r="D40" s="64">
        <f t="shared" si="0"/>
        <v>-3</v>
      </c>
      <c r="E40" s="23">
        <f t="shared" ref="E40:E47" si="3">D40/C40</f>
        <v>-3.7128712871287127E-3</v>
      </c>
    </row>
    <row r="41" spans="1:5" ht="15.6">
      <c r="A41" s="9" t="s">
        <v>38</v>
      </c>
      <c r="B41" s="13">
        <v>4544</v>
      </c>
      <c r="C41" s="79">
        <v>4430</v>
      </c>
      <c r="D41" s="64">
        <f t="shared" si="0"/>
        <v>114</v>
      </c>
      <c r="E41" s="23">
        <f t="shared" si="3"/>
        <v>2.5733634311512415E-2</v>
      </c>
    </row>
    <row r="42" spans="1:5" ht="15.6">
      <c r="A42" s="9" t="s">
        <v>39</v>
      </c>
      <c r="B42" s="13">
        <v>89814</v>
      </c>
      <c r="C42" s="79">
        <v>83135</v>
      </c>
      <c r="D42" s="64">
        <f t="shared" si="0"/>
        <v>6679</v>
      </c>
      <c r="E42" s="23">
        <f t="shared" si="3"/>
        <v>8.0339207313405908E-2</v>
      </c>
    </row>
    <row r="43" spans="1:5" ht="15.6">
      <c r="A43" s="9" t="s">
        <v>40</v>
      </c>
      <c r="B43" s="13">
        <v>-11302</v>
      </c>
      <c r="C43" s="79">
        <v>-11680</v>
      </c>
      <c r="D43" s="64">
        <f t="shared" si="0"/>
        <v>378</v>
      </c>
      <c r="E43" s="23">
        <f t="shared" si="3"/>
        <v>-3.2363013698630136E-2</v>
      </c>
    </row>
    <row r="44" spans="1:5" ht="15.6">
      <c r="A44" s="9" t="s">
        <v>41</v>
      </c>
      <c r="B44" s="22">
        <f>SUM(B40:B43)</f>
        <v>83861</v>
      </c>
      <c r="C44" s="80">
        <f>SUM(C40:C43)</f>
        <v>76693</v>
      </c>
      <c r="D44" s="65">
        <f t="shared" si="0"/>
        <v>7168</v>
      </c>
      <c r="E44" s="26">
        <f t="shared" si="3"/>
        <v>9.3463549476484165E-2</v>
      </c>
    </row>
    <row r="45" spans="1:5" ht="15.6">
      <c r="A45" s="9" t="s">
        <v>42</v>
      </c>
      <c r="B45" s="13">
        <v>6488</v>
      </c>
      <c r="C45" s="79">
        <v>7061</v>
      </c>
      <c r="D45" s="64">
        <f t="shared" si="0"/>
        <v>-573</v>
      </c>
      <c r="E45" s="23">
        <f t="shared" si="3"/>
        <v>-8.114997875655007E-2</v>
      </c>
    </row>
    <row r="46" spans="1:5" ht="15.6">
      <c r="A46" s="8" t="s">
        <v>23</v>
      </c>
      <c r="B46" s="14">
        <f>SUM(B44:B45)</f>
        <v>90349</v>
      </c>
      <c r="C46" s="15">
        <f>SUM(C44:C45)</f>
        <v>83754</v>
      </c>
      <c r="D46" s="67">
        <f t="shared" si="0"/>
        <v>6595</v>
      </c>
      <c r="E46" s="25">
        <f t="shared" si="3"/>
        <v>7.8742507820522001E-2</v>
      </c>
    </row>
    <row r="47" spans="1:5" ht="31.2">
      <c r="A47" s="76" t="s">
        <v>24</v>
      </c>
      <c r="B47" s="14">
        <f>B28+B30+B31+B32+B33+B37+B46</f>
        <v>252399</v>
      </c>
      <c r="C47" s="15">
        <f>C28+C30+C31+C32+C33+C37+C46</f>
        <v>243197</v>
      </c>
      <c r="D47" s="81">
        <f t="shared" si="0"/>
        <v>9202</v>
      </c>
      <c r="E47" s="24">
        <f t="shared" si="3"/>
        <v>3.7837637799808387E-2</v>
      </c>
    </row>
  </sheetData>
  <mergeCells count="2">
    <mergeCell ref="A2:L2"/>
    <mergeCell ref="B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C925-69BC-428F-82BB-647AE427B7CA}">
  <dimension ref="A1:H34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D30" sqref="D30"/>
    </sheetView>
  </sheetViews>
  <sheetFormatPr defaultRowHeight="14.4"/>
  <cols>
    <col min="1" max="1" width="45.44140625" bestFit="1" customWidth="1"/>
    <col min="2" max="2" width="39.77734375" bestFit="1" customWidth="1"/>
    <col min="3" max="3" width="36.44140625" bestFit="1" customWidth="1"/>
    <col min="4" max="4" width="13.6640625" bestFit="1" customWidth="1"/>
    <col min="5" max="5" width="36.44140625" bestFit="1" customWidth="1"/>
    <col min="6" max="6" width="15.6640625" bestFit="1" customWidth="1"/>
  </cols>
  <sheetData>
    <row r="1" spans="1:8">
      <c r="A1" s="1" t="s">
        <v>85</v>
      </c>
    </row>
    <row r="2" spans="1:8" ht="17.399999999999999">
      <c r="A2" s="124" t="s">
        <v>84</v>
      </c>
      <c r="B2" s="124"/>
      <c r="C2" s="124"/>
      <c r="D2" s="124"/>
      <c r="E2" s="124"/>
      <c r="F2" s="124"/>
      <c r="G2" s="124"/>
      <c r="H2" s="82"/>
    </row>
    <row r="4" spans="1:8" ht="15.6">
      <c r="A4" s="83"/>
      <c r="B4" s="83"/>
      <c r="C4" s="125" t="s">
        <v>47</v>
      </c>
      <c r="D4" s="125"/>
      <c r="E4" s="125"/>
      <c r="F4" s="125"/>
    </row>
    <row r="5" spans="1:8" ht="15.6">
      <c r="A5" s="84" t="s">
        <v>86</v>
      </c>
      <c r="B5" s="86" t="s">
        <v>87</v>
      </c>
      <c r="C5" s="84" t="s">
        <v>140</v>
      </c>
      <c r="D5" s="98">
        <v>2024</v>
      </c>
      <c r="E5" s="84" t="s">
        <v>140</v>
      </c>
      <c r="F5" s="98">
        <v>2023</v>
      </c>
    </row>
    <row r="6" spans="1:8">
      <c r="B6" s="77"/>
      <c r="D6" s="12"/>
      <c r="F6" s="21"/>
    </row>
    <row r="7" spans="1:8" ht="17.399999999999999">
      <c r="A7" s="85" t="s">
        <v>88</v>
      </c>
      <c r="B7" s="77"/>
      <c r="D7" s="12"/>
      <c r="F7" s="12"/>
    </row>
    <row r="8" spans="1:8" ht="17.399999999999999">
      <c r="A8" s="85"/>
      <c r="B8" s="77"/>
      <c r="D8" s="12"/>
      <c r="F8" s="12"/>
    </row>
    <row r="9" spans="1:8">
      <c r="A9" t="s">
        <v>92</v>
      </c>
      <c r="B9" s="87" t="s">
        <v>89</v>
      </c>
      <c r="C9" t="s">
        <v>141</v>
      </c>
      <c r="D9" s="96">
        <f>147199/'Common Sized-Balance Sheet '!B47</f>
        <v>1.6292266654860597</v>
      </c>
      <c r="E9" t="s">
        <v>142</v>
      </c>
      <c r="F9" s="96">
        <f>134494/'Common Sized-Balance Sheet '!D47</f>
        <v>1.6058218114955705</v>
      </c>
    </row>
    <row r="10" spans="1:8" ht="43.2">
      <c r="A10" t="s">
        <v>93</v>
      </c>
      <c r="B10" s="88" t="s">
        <v>123</v>
      </c>
      <c r="C10" s="95" t="s">
        <v>138</v>
      </c>
      <c r="D10" s="90">
        <f>40457/'Common Sized-Balance Sheet '!B19</f>
        <v>0.1602898585176645</v>
      </c>
      <c r="E10" s="13" t="s">
        <v>139</v>
      </c>
      <c r="F10" s="90">
        <f>39212/'Common Sized-Balance Sheet '!D19</f>
        <v>0.16123554155684486</v>
      </c>
    </row>
    <row r="11" spans="1:8">
      <c r="A11" t="s">
        <v>94</v>
      </c>
      <c r="B11" s="87" t="s">
        <v>90</v>
      </c>
      <c r="C11" s="1"/>
      <c r="D11" s="93">
        <f>'Common Sized-Balance Sheet '!B47/'Common Sized-Balance Sheet '!B19</f>
        <v>0.3579610061846521</v>
      </c>
      <c r="E11" s="91"/>
      <c r="F11" s="93">
        <f>'Common Sized-Balance Sheet '!D47/'Common Sized-Balance Sheet '!D19</f>
        <v>0.34438747188493279</v>
      </c>
    </row>
    <row r="12" spans="1:8">
      <c r="A12" t="s">
        <v>95</v>
      </c>
      <c r="B12" s="87" t="s">
        <v>91</v>
      </c>
      <c r="C12" s="1"/>
      <c r="D12" s="93">
        <f>147199/'Common Sized-Balance Sheet '!B19</f>
        <v>0.58319961648025542</v>
      </c>
      <c r="E12" s="91"/>
      <c r="F12" s="93">
        <f>134494/'Common Sized-Balance Sheet '!D19</f>
        <v>0.55302491395864262</v>
      </c>
    </row>
    <row r="13" spans="1:8">
      <c r="A13" t="s">
        <v>96</v>
      </c>
      <c r="B13" s="87" t="s">
        <v>137</v>
      </c>
      <c r="C13" s="1"/>
      <c r="D13" s="93">
        <f>('Common sized -Income Statement '!B13+'Common sized -Income Statement '!B18)/'Common sized -Income Statement '!B18</f>
        <v>13.640149742629855</v>
      </c>
      <c r="E13" s="91"/>
      <c r="F13" s="93">
        <f>('Common sized -Income Statement '!D13+'Common sized -Income Statement '!D18)/'Common sized -Income Statement '!D18</f>
        <v>11.900747065101388</v>
      </c>
    </row>
    <row r="14" spans="1:8">
      <c r="B14" s="77"/>
      <c r="D14" s="93"/>
      <c r="E14" s="91"/>
      <c r="F14" s="12"/>
    </row>
    <row r="15" spans="1:8" ht="17.399999999999999">
      <c r="A15" s="85" t="s">
        <v>97</v>
      </c>
      <c r="B15" s="89"/>
      <c r="C15" s="85"/>
      <c r="D15" s="93"/>
      <c r="E15" s="91"/>
      <c r="F15" s="12"/>
    </row>
    <row r="16" spans="1:8">
      <c r="B16" s="87"/>
      <c r="C16" s="1"/>
      <c r="D16" s="93"/>
      <c r="E16" s="91"/>
      <c r="F16" s="12"/>
    </row>
    <row r="17" spans="1:7">
      <c r="A17" t="s">
        <v>98</v>
      </c>
      <c r="B17" s="87" t="s">
        <v>99</v>
      </c>
      <c r="C17" s="1"/>
      <c r="D17" s="93">
        <f>'Common Sized-Balance Sheet '!B8/'Common Sized-Balance Sheet '!B29</f>
        <v>0.10676838175620841</v>
      </c>
      <c r="E17" s="91"/>
      <c r="F17" s="90">
        <f>'Common Sized-Balance Sheet '!D8/'Common Sized-Balance Sheet '!D29</f>
        <v>9.3548666999284144E-2</v>
      </c>
    </row>
    <row r="18" spans="1:7">
      <c r="A18" t="s">
        <v>100</v>
      </c>
      <c r="B18" s="87" t="s">
        <v>101</v>
      </c>
      <c r="C18" s="1"/>
      <c r="D18" s="93">
        <f>('Common Sized-Balance Sheet '!B12-'Common Sized-Balance Sheet '!B10)/'Common Sized-Balance Sheet '!B29</f>
        <v>0.23789428123140183</v>
      </c>
      <c r="E18" s="91"/>
      <c r="F18" s="93">
        <f>('Common Sized-Balance Sheet '!D12-'Common Sized-Balance Sheet '!D10)/'Common Sized-Balance Sheet '!D29</f>
        <v>0.20693507451354692</v>
      </c>
    </row>
    <row r="19" spans="1:7">
      <c r="A19" t="s">
        <v>102</v>
      </c>
      <c r="B19" s="87" t="s">
        <v>103</v>
      </c>
      <c r="C19" s="1"/>
      <c r="D19" s="93">
        <f>'Common Sized-Balance Sheet '!B12/'Common Sized-Balance Sheet '!B29</f>
        <v>0.83186712113834338</v>
      </c>
      <c r="E19" s="91"/>
      <c r="F19" s="93">
        <f>'Common Sized-Balance Sheet '!D12/'Common Sized-Balance Sheet '!D29</f>
        <v>0.82057094513980777</v>
      </c>
    </row>
    <row r="20" spans="1:7">
      <c r="B20" s="87"/>
      <c r="C20" s="1"/>
      <c r="D20" s="12"/>
      <c r="F20" s="12"/>
    </row>
    <row r="21" spans="1:7">
      <c r="B21" s="77"/>
      <c r="D21" s="12"/>
      <c r="F21" s="12"/>
    </row>
    <row r="22" spans="1:7" ht="17.399999999999999">
      <c r="A22" s="85" t="s">
        <v>104</v>
      </c>
      <c r="B22" s="77"/>
      <c r="D22" s="12"/>
      <c r="F22" s="12"/>
    </row>
    <row r="23" spans="1:7">
      <c r="B23" s="77"/>
      <c r="D23" s="12"/>
      <c r="F23" s="12"/>
    </row>
    <row r="24" spans="1:7">
      <c r="A24" t="s">
        <v>105</v>
      </c>
      <c r="B24" s="87" t="s">
        <v>106</v>
      </c>
      <c r="C24" s="94"/>
      <c r="D24" s="23">
        <f>('Common sized -Income Statement '!B7-'Common sized -Income Statement '!B11)/'Common sized -Income Statement '!B7</f>
        <v>0.23729570504032604</v>
      </c>
      <c r="F24" s="23">
        <f>('Common sized -Income Statement '!D7-'Common sized -Income Statement '!D11)/'Common sized -Income Statement '!D7</f>
        <v>0.23463353364769649</v>
      </c>
    </row>
    <row r="25" spans="1:7">
      <c r="A25" t="s">
        <v>107</v>
      </c>
      <c r="B25" s="87" t="s">
        <v>108</v>
      </c>
      <c r="C25" s="94"/>
      <c r="D25" s="23">
        <f>'Common sized -Income Statement '!B25/'Common sized -Income Statement '!B9</f>
        <v>2.3932111861137896E-2</v>
      </c>
      <c r="F25" s="23">
        <f>'Common sized -Income Statement '!D25/'Common sized -Income Statement '!D9</f>
        <v>1.9107165350595218E-2</v>
      </c>
    </row>
    <row r="26" spans="1:7">
      <c r="A26" t="s">
        <v>109</v>
      </c>
      <c r="B26" s="87" t="s">
        <v>124</v>
      </c>
      <c r="C26" t="s">
        <v>127</v>
      </c>
      <c r="D26" s="23">
        <f>15511/247798</f>
        <v>6.2595339752540377E-2</v>
      </c>
      <c r="E26" t="s">
        <v>125</v>
      </c>
      <c r="F26" s="23">
        <f>11680/238861.5</f>
        <v>4.8898629540549646E-2</v>
      </c>
      <c r="G26" s="115"/>
    </row>
    <row r="27" spans="1:7">
      <c r="A27" t="s">
        <v>111</v>
      </c>
      <c r="B27" s="87" t="s">
        <v>110</v>
      </c>
      <c r="C27" t="s">
        <v>136</v>
      </c>
      <c r="D27" s="23">
        <f>15511/80277</f>
        <v>0.19321848100950459</v>
      </c>
      <c r="E27" t="s">
        <v>126</v>
      </c>
      <c r="F27" s="23">
        <f>11680/73911.5</f>
        <v>0.15802682938379006</v>
      </c>
    </row>
    <row r="28" spans="1:7">
      <c r="A28" t="s">
        <v>112</v>
      </c>
      <c r="B28" s="87" t="s">
        <v>113</v>
      </c>
      <c r="C28" s="1"/>
      <c r="D28" s="23">
        <f>'Common sized -Income Statement '!B13/'Common sized -Income Statement '!B7</f>
        <v>4.2033060654770887E-2</v>
      </c>
      <c r="F28" s="23">
        <f>'Common sized -Income Statement '!D13/'Common sized -Income Statement '!D7</f>
        <v>3.3716191793437988E-2</v>
      </c>
    </row>
    <row r="29" spans="1:7">
      <c r="B29" s="77"/>
      <c r="D29" s="12"/>
      <c r="F29" s="12"/>
    </row>
    <row r="30" spans="1:7" ht="17.399999999999999">
      <c r="A30" s="85" t="s">
        <v>114</v>
      </c>
      <c r="B30" s="77"/>
      <c r="D30" s="12"/>
      <c r="F30" s="12"/>
    </row>
    <row r="31" spans="1:7">
      <c r="A31" t="s">
        <v>115</v>
      </c>
      <c r="B31" s="87" t="s">
        <v>116</v>
      </c>
      <c r="C31" t="s">
        <v>127</v>
      </c>
      <c r="D31" s="96">
        <f>'Common sized -Income Statement '!B9/247798</f>
        <v>2.6155376556711514</v>
      </c>
      <c r="E31" t="s">
        <v>125</v>
      </c>
      <c r="F31" s="96">
        <f>'Common sized -Income Statement '!D9/238861.5</f>
        <v>2.5591775987339944</v>
      </c>
    </row>
    <row r="32" spans="1:7">
      <c r="A32" t="s">
        <v>121</v>
      </c>
      <c r="B32" s="87" t="s">
        <v>122</v>
      </c>
      <c r="C32" t="s">
        <v>128</v>
      </c>
      <c r="D32" s="96">
        <f>'Common sized -Income Statement '!B7/8365</f>
        <v>76.824506873879258</v>
      </c>
      <c r="E32" t="s">
        <v>129</v>
      </c>
      <c r="F32" s="96">
        <f>'Common sized -Income Statement '!D7/7738</f>
        <v>78.299431377616955</v>
      </c>
    </row>
    <row r="33" spans="1:6">
      <c r="A33" t="s">
        <v>117</v>
      </c>
      <c r="B33" s="87" t="s">
        <v>118</v>
      </c>
      <c r="C33" t="s">
        <v>130</v>
      </c>
      <c r="D33" s="96">
        <f>'Common sized -Income Statement '!B11/55734</f>
        <v>8.794308680518176</v>
      </c>
      <c r="E33" t="s">
        <v>131</v>
      </c>
      <c r="F33" s="96">
        <f>'Common sized -Income Statement '!D11/55868</f>
        <v>8.3002971289468039</v>
      </c>
    </row>
    <row r="34" spans="1:6">
      <c r="A34" s="18" t="s">
        <v>119</v>
      </c>
      <c r="B34" s="92" t="s">
        <v>120</v>
      </c>
      <c r="C34" s="18" t="s">
        <v>132</v>
      </c>
      <c r="D34" s="97" t="s">
        <v>133</v>
      </c>
      <c r="E34" s="18" t="s">
        <v>134</v>
      </c>
      <c r="F34" s="97" t="s">
        <v>135</v>
      </c>
    </row>
  </sheetData>
  <mergeCells count="2">
    <mergeCell ref="A2:G2"/>
    <mergeCell ref="C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6C12-FCAD-4EA9-A6AE-B0AC97035D82}">
  <dimension ref="A1:B50"/>
  <sheetViews>
    <sheetView workbookViewId="0">
      <selection activeCell="B53" sqref="B53"/>
    </sheetView>
  </sheetViews>
  <sheetFormatPr defaultRowHeight="14.4"/>
  <cols>
    <col min="1" max="1" width="46.44140625" bestFit="1" customWidth="1"/>
    <col min="2" max="2" width="135" bestFit="1" customWidth="1"/>
  </cols>
  <sheetData>
    <row r="1" spans="1:2">
      <c r="A1" s="1" t="s">
        <v>77</v>
      </c>
    </row>
    <row r="2" spans="1:2">
      <c r="A2" s="1"/>
      <c r="B2" s="99" t="s">
        <v>143</v>
      </c>
    </row>
    <row r="3" spans="1:2">
      <c r="B3" s="100"/>
    </row>
    <row r="4" spans="1:2">
      <c r="A4" s="1" t="s">
        <v>144</v>
      </c>
      <c r="B4" s="100"/>
    </row>
    <row r="5" spans="1:2">
      <c r="A5" t="s">
        <v>158</v>
      </c>
      <c r="B5" t="s">
        <v>145</v>
      </c>
    </row>
    <row r="7" spans="1:2">
      <c r="A7" t="s">
        <v>159</v>
      </c>
      <c r="B7" t="s">
        <v>146</v>
      </c>
    </row>
    <row r="8" spans="1:2">
      <c r="B8" t="s">
        <v>147</v>
      </c>
    </row>
    <row r="10" spans="1:2">
      <c r="A10" t="s">
        <v>160</v>
      </c>
      <c r="B10" t="s">
        <v>148</v>
      </c>
    </row>
    <row r="12" spans="1:2">
      <c r="A12" t="s">
        <v>161</v>
      </c>
      <c r="B12" t="s">
        <v>188</v>
      </c>
    </row>
    <row r="13" spans="1:2">
      <c r="B13" t="s">
        <v>189</v>
      </c>
    </row>
    <row r="15" spans="1:2">
      <c r="A15" t="s">
        <v>162</v>
      </c>
      <c r="B15" t="s">
        <v>149</v>
      </c>
    </row>
    <row r="16" spans="1:2">
      <c r="B16" t="s">
        <v>150</v>
      </c>
    </row>
    <row r="18" spans="1:2">
      <c r="A18" s="1" t="s">
        <v>151</v>
      </c>
    </row>
    <row r="20" spans="1:2">
      <c r="A20" t="s">
        <v>152</v>
      </c>
      <c r="B20" t="s">
        <v>153</v>
      </c>
    </row>
    <row r="21" spans="1:2">
      <c r="B21" t="s">
        <v>154</v>
      </c>
    </row>
    <row r="23" spans="1:2">
      <c r="A23" t="s">
        <v>163</v>
      </c>
      <c r="B23" t="s">
        <v>177</v>
      </c>
    </row>
    <row r="24" spans="1:2">
      <c r="B24" t="s">
        <v>155</v>
      </c>
    </row>
    <row r="26" spans="1:2">
      <c r="A26" t="s">
        <v>164</v>
      </c>
      <c r="B26" t="s">
        <v>156</v>
      </c>
    </row>
    <row r="27" spans="1:2">
      <c r="B27" t="s">
        <v>157</v>
      </c>
    </row>
    <row r="29" spans="1:2" ht="28.8">
      <c r="A29" t="s">
        <v>165</v>
      </c>
      <c r="B29" s="95" t="s">
        <v>166</v>
      </c>
    </row>
    <row r="31" spans="1:2">
      <c r="A31" s="1" t="s">
        <v>167</v>
      </c>
    </row>
    <row r="33" spans="1:2">
      <c r="A33" t="s">
        <v>168</v>
      </c>
      <c r="B33" t="s">
        <v>169</v>
      </c>
    </row>
    <row r="34" spans="1:2">
      <c r="B34" t="s">
        <v>170</v>
      </c>
    </row>
    <row r="36" spans="1:2">
      <c r="A36" t="s">
        <v>171</v>
      </c>
      <c r="B36" t="s">
        <v>172</v>
      </c>
    </row>
    <row r="38" spans="1:2" ht="28.8">
      <c r="A38" t="s">
        <v>174</v>
      </c>
      <c r="B38" s="95" t="s">
        <v>175</v>
      </c>
    </row>
    <row r="40" spans="1:2" ht="28.8">
      <c r="A40" t="s">
        <v>176</v>
      </c>
      <c r="B40" s="95" t="s">
        <v>173</v>
      </c>
    </row>
    <row r="42" spans="1:2">
      <c r="A42" s="1" t="s">
        <v>178</v>
      </c>
    </row>
    <row r="44" spans="1:2">
      <c r="A44" t="s">
        <v>179</v>
      </c>
      <c r="B44" t="s">
        <v>180</v>
      </c>
    </row>
    <row r="45" spans="1:2">
      <c r="B45" t="s">
        <v>181</v>
      </c>
    </row>
    <row r="47" spans="1:2" ht="28.8">
      <c r="A47" s="100" t="s">
        <v>182</v>
      </c>
      <c r="B47" s="95" t="s">
        <v>183</v>
      </c>
    </row>
    <row r="49" spans="1:2">
      <c r="A49" t="s">
        <v>184</v>
      </c>
      <c r="B49" t="s">
        <v>185</v>
      </c>
    </row>
    <row r="50" spans="1:2">
      <c r="B50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Common sized -Income Statement </vt:lpstr>
      <vt:lpstr>Sheet1</vt:lpstr>
      <vt:lpstr>Sheet2</vt:lpstr>
      <vt:lpstr>Common Sized-Balance Sheet </vt:lpstr>
      <vt:lpstr>Fluctuation- Income Statement</vt:lpstr>
      <vt:lpstr>Fluctuation- Balance Sheet </vt:lpstr>
      <vt:lpstr>Ratio Analysis </vt:lpstr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Shah</dc:creator>
  <cp:lastModifiedBy>Niket Shah</cp:lastModifiedBy>
  <dcterms:created xsi:type="dcterms:W3CDTF">2015-06-05T18:17:20Z</dcterms:created>
  <dcterms:modified xsi:type="dcterms:W3CDTF">2025-12-16T20:43:21Z</dcterms:modified>
</cp:coreProperties>
</file>